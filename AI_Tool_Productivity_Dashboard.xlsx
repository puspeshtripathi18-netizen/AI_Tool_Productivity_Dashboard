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ocumentation" sheetId="1" state="visible" r:id="rId3"/>
    <sheet name="Charts" sheetId="2" state="visible" r:id="rId4"/>
    <sheet name="Pivot_Summary" sheetId="3" state="visible" r:id="rId5"/>
    <sheet name="Analysis" sheetId="4" state="visible" r:id="rId6"/>
    <sheet name="Data_Cleaning" sheetId="5" state="visible" r:id="rId7"/>
    <sheet name="Raw_Data" sheetId="6" state="visible" r:id="rId8"/>
    <sheet name="🎯 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<sst xmlns="http://schemas.openxmlformats.org/spreadsheetml/2006/main" count="2217" uniqueCount="392">
  <si>
    <t xml:space="preserve">📄  PROJECT DOCUMENTATION  |  AI Tool Usage &amp; Productivity Dashboard</t>
  </si>
  <si>
    <t xml:space="preserve">PROJECT OVERVIEW</t>
  </si>
  <si>
    <t xml:space="preserve">Project Title</t>
  </si>
  <si>
    <t xml:space="preserve">AI Tool Usage &amp; Productivity Dashboard – 2024/2025</t>
  </si>
  <si>
    <t xml:space="preserve">Objective</t>
  </si>
  <si>
    <t xml:space="preserve">Analyse AI tool adoption, usage patterns, and productivity impact across roles and departments</t>
  </si>
  <si>
    <t xml:space="preserve">Dataset Size</t>
  </si>
  <si>
    <t xml:space="preserve">200 records × 20 columns | 15 months (Jan 2024 – Mar 2025)</t>
  </si>
  <si>
    <t xml:space="preserve">AI Tools Covered</t>
  </si>
  <si>
    <t xml:space="preserve">ChatGPT, Gemini, Copilot, Claude, Perplexity</t>
  </si>
  <si>
    <t xml:space="preserve">User Roles</t>
  </si>
  <si>
    <t xml:space="preserve">Student, Employee, Freelancer, Researcher, Manager</t>
  </si>
  <si>
    <t xml:space="preserve">Geography</t>
  </si>
  <si>
    <t xml:space="preserve">8 Indian cities | Urban &amp; Semi-Urban classification</t>
  </si>
  <si>
    <t xml:space="preserve">Tools Used</t>
  </si>
  <si>
    <t xml:space="preserve">Microsoft Excel (No VBA / Macros / Power Query)</t>
  </si>
  <si>
    <t xml:space="preserve">SHEET STRUCTURE</t>
  </si>
  <si>
    <t xml:space="preserve">Raw_Data</t>
  </si>
  <si>
    <t xml:space="preserve">200-row master dataset with all 20 columns including auto-calculated Performance Category &amp; Status</t>
  </si>
  <si>
    <t xml:space="preserve">Data_Cleaning</t>
  </si>
  <si>
    <t xml:space="preserve">10-step data quality checklist with formulas, issues found, and resolutions</t>
  </si>
  <si>
    <t xml:space="preserve">Analysis</t>
  </si>
  <si>
    <t xml:space="preserve">4 analysis tables: Tool Summary, Role Analysis, Monthly Trend, Urban vs Semi-Urban</t>
  </si>
  <si>
    <t xml:space="preserve">Pivot_Summary</t>
  </si>
  <si>
    <t xml:space="preserve">3 pivot-style crosstab tables powering charts and dashboard slicers</t>
  </si>
  <si>
    <t xml:space="preserve">Charts</t>
  </si>
  <si>
    <t xml:space="preserve">4 embedded charts: Bar, Pie, Line, Grouped Bar with formatted series</t>
  </si>
  <si>
    <t xml:space="preserve">🎯 Dashboard</t>
  </si>
  <si>
    <t xml:space="preserve">Executive dashboard with 6 KPI cards, 5 summary tables, insights, and footer</t>
  </si>
  <si>
    <t xml:space="preserve">Documentation</t>
  </si>
  <si>
    <t xml:space="preserve">This sheet – full project documentation for portfolio use</t>
  </si>
  <si>
    <t xml:space="preserve">FORMULAS USED</t>
  </si>
  <si>
    <t xml:space="preserve">IF / Nested IF</t>
  </si>
  <si>
    <t xml:space="preserve">COUNTIF</t>
  </si>
  <si>
    <t xml:space="preserve">ChatGPT has the highest adoption rate (~21% market share) across all roles</t>
  </si>
  <si>
    <t xml:space="preserve">COUNTIFS</t>
  </si>
  <si>
    <t xml:space="preserve">Average daily AI usage is 2.8 hrs; employees save ~2.1 hrs/day using AI tools</t>
  </si>
  <si>
    <t xml:space="preserve">SUMIF</t>
  </si>
  <si>
    <t xml:space="preserve">Enterprise plan users score 23% higher productivity than Free-tier users</t>
  </si>
  <si>
    <t xml:space="preserve">AVERAGEIF</t>
  </si>
  <si>
    <t xml:space="preserve">Researchers record the highest average productivity score (82.4)</t>
  </si>
  <si>
    <t xml:space="preserve">AVERAGEIFS</t>
  </si>
  <si>
    <t xml:space="preserve">Urban users adopt AI faster but Semi-Urban growth rate is accelerating Q3→Q4 2024</t>
  </si>
  <si>
    <t xml:space="preserve">MAXIFS</t>
  </si>
  <si>
    <t xml:space="preserve">Error reduction averages 27% across all tools – Copilot leads in Engineering tasks</t>
  </si>
  <si>
    <t xml:space="preserve">INDEX-MATCH</t>
  </si>
  <si>
    <t xml:space="preserve">Top Performers (score ≥90) represent ~18% of total users – prime upsell candidates</t>
  </si>
  <si>
    <t xml:space="preserve">VLOOKUP equiv.</t>
  </si>
  <si>
    <t xml:space="preserve">Used INDEX-MATCH for two-way lookup in Pivot Summary tables</t>
  </si>
  <si>
    <t xml:space="preserve">Colour Scale CF</t>
  </si>
  <si>
    <t xml:space="preserve">Conditional Formatting on Productivity Score: Red→Yellow→Green</t>
  </si>
  <si>
    <t xml:space="preserve">Data Validation</t>
  </si>
  <si>
    <t xml:space="preserve">Satisfaction Rating locked to decimal 1-5 with error alert</t>
  </si>
  <si>
    <t xml:space="preserve">KEY INSIGHTS</t>
  </si>
  <si>
    <t xml:space="preserve">Insight 1</t>
  </si>
  <si>
    <t xml:space="preserve">Insight 2</t>
  </si>
  <si>
    <t xml:space="preserve">Insight 3</t>
  </si>
  <si>
    <t xml:space="preserve">Insight 4</t>
  </si>
  <si>
    <t xml:space="preserve">Insight 5</t>
  </si>
  <si>
    <t xml:space="preserve">Insight 6</t>
  </si>
  <si>
    <t xml:space="preserve">Insight 7</t>
  </si>
  <si>
    <t xml:space="preserve">RESUME DESCRIPTION</t>
  </si>
  <si>
    <t xml:space="preserve">One-liner</t>
  </si>
  <si>
    <t xml:space="preserve">Built an interactive Excel dashboard analysing AI tool adoption across 200 users, 5 tools, and 15 months</t>
  </si>
  <si>
    <t xml:space="preserve">Bullet 1</t>
  </si>
  <si>
    <t xml:space="preserve">• Cleaned and validated 200-row dataset using 10-step quality checks (deduplication, range validation, standardisation)</t>
  </si>
  <si>
    <t xml:space="preserve">Bullet 2</t>
  </si>
  <si>
    <t xml:space="preserve">• Engineered 15+ Excel formulas (IF, COUNTIFS, AVERAGEIFS, MAXIFS, INDEX-MATCH) across 7 structured worksheets</t>
  </si>
  <si>
    <t xml:space="preserve">Bullet 3</t>
  </si>
  <si>
    <t xml:space="preserve">• Built Pivot Summary tables, 4 dynamic charts (Bar, Pie, Line), and a KPI dashboard with 6 metric cards</t>
  </si>
  <si>
    <t xml:space="preserve">Bullet 4</t>
  </si>
  <si>
    <t xml:space="preserve">• Identified 23% productivity gap between Enterprise and Free-tier users; surfaced top-performer segments</t>
  </si>
  <si>
    <t xml:space="preserve">Skills Tags</t>
  </si>
  <si>
    <t xml:space="preserve">Microsoft Excel | Data Analysis | Dashboard Design | Data Cleaning | KPIs | Conditional Formatting</t>
  </si>
  <si>
    <t xml:space="preserve">📈  EMBEDDED CHARTS</t>
  </si>
  <si>
    <t xml:space="preserve">Chart 1: Avg Productivity Score by AI Tool</t>
  </si>
  <si>
    <t xml:space="preserve">Chart 2: AI Tool Market Share</t>
  </si>
  <si>
    <t xml:space="preserve">AI Tool</t>
  </si>
  <si>
    <t xml:space="preserve">Avg Productivity</t>
  </si>
  <si>
    <t xml:space="preserve">User Count</t>
  </si>
  <si>
    <t xml:space="preserve">ChatGPT</t>
  </si>
  <si>
    <t xml:space="preserve">Gemini</t>
  </si>
  <si>
    <t xml:space="preserve">Copilot</t>
  </si>
  <si>
    <t xml:space="preserve">Claude</t>
  </si>
  <si>
    <t xml:space="preserve">Perplexity</t>
  </si>
  <si>
    <t xml:space="preserve">Chart 3: Monthly User Growth Trend</t>
  </si>
  <si>
    <t xml:space="preserve">Chart 4: Role-Based Productivity</t>
  </si>
  <si>
    <t xml:space="preserve">Month</t>
  </si>
  <si>
    <t xml:space="preserve">Users</t>
  </si>
  <si>
    <t xml:space="preserve">Avg Prod</t>
  </si>
  <si>
    <t xml:space="preserve">Role</t>
  </si>
  <si>
    <t xml:space="preserve">Avg Time Saved</t>
  </si>
  <si>
    <t xml:space="preserve">Jan-24</t>
  </si>
  <si>
    <t xml:space="preserve">Student</t>
  </si>
  <si>
    <t xml:space="preserve">Feb-24</t>
  </si>
  <si>
    <t xml:space="preserve">Employee</t>
  </si>
  <si>
    <t xml:space="preserve">Mar-24</t>
  </si>
  <si>
    <t xml:space="preserve">Freelancer</t>
  </si>
  <si>
    <t xml:space="preserve">Apr-24</t>
  </si>
  <si>
    <t xml:space="preserve">Researcher</t>
  </si>
  <si>
    <t xml:space="preserve">May-24</t>
  </si>
  <si>
    <t xml:space="preserve">Manager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</si>
  <si>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</si>
  <si>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</si>
  <si>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</si>
  <si>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</si>
  <si>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</si>
  <si>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</si>
  <si>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</si>
  <si>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</si>
  <si>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</si>
  <si>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</si>
  <si>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📋  PIVOT SUMMARY TABLES  (Source for Charts &amp; Dashboard)</t>
  </si>
  <si>
    <t xml:space="preserve">PIVOT A – Avg Productivity Score by Tool &amp; Role</t>
  </si>
  <si>
    <t xml:space="preserve">PIVOT B – Monthly User Count by AI Tool</t>
  </si>
  <si>
    <t xml:space="preserve">PIVOT C – Subscription Type Distribution</t>
  </si>
  <si>
    <t xml:space="preserve">Free Users</t>
  </si>
  <si>
    <t xml:space="preserve">Pro Users</t>
  </si>
  <si>
    <t xml:space="preserve">Enterprise Users</t>
  </si>
  <si>
    <t xml:space="preserve">Total</t>
  </si>
  <si>
    <t xml:space="preserve">📊  FORMULA-BASED ANALYSIS &amp; KPI CALCULATIONS</t>
  </si>
  <si>
    <t xml:space="preserve">A. AI Tool Performance Summary</t>
  </si>
  <si>
    <t xml:space="preserve">Total Users</t>
  </si>
  <si>
    <t xml:space="preserve">Avg Daily Usage (Hrs)</t>
  </si>
  <si>
    <t xml:space="preserve">Avg Productivity Score</t>
  </si>
  <si>
    <t xml:space="preserve">Avg Time Saved (Hrs)</t>
  </si>
  <si>
    <t xml:space="preserve">Avg Satisfaction</t>
  </si>
  <si>
    <t xml:space="preserve">Avg Tasks Completed</t>
  </si>
  <si>
    <t xml:space="preserve">Avg Error Reduction %</t>
  </si>
  <si>
    <t xml:space="preserve">Market Share %</t>
  </si>
  <si>
    <t xml:space="preserve">TOTAL / AVG</t>
  </si>
  <si>
    <t xml:space="preserve">B. Role-Based Productivity Analysis</t>
  </si>
  <si>
    <t xml:space="preserve">Count</t>
  </si>
  <si>
    <t xml:space="preserve">Top AI Tool</t>
  </si>
  <si>
    <t xml:space="preserve">Avg Tasks</t>
  </si>
  <si>
    <t xml:space="preserve">High Performers</t>
  </si>
  <si>
    <t xml:space="preserve">High Performer %</t>
  </si>
  <si>
    <t xml:space="preserve">C. Monthly Usage Trend &amp; Growth Rate</t>
  </si>
  <si>
    <t xml:space="preserve">Total Tasks</t>
  </si>
  <si>
    <t xml:space="preserve">MoM Growth %</t>
  </si>
  <si>
    <t xml:space="preserve">Cumulative Users</t>
  </si>
  <si>
    <t xml:space="preserve">Cost Efficiency</t>
  </si>
  <si>
    <t xml:space="preserve">"N/A (Base)"</t>
  </si>
  <si>
    <t xml:space="preserve">D. Urban vs Semi-Urban Productivity Comparison</t>
  </si>
  <si>
    <t xml:space="preserve">Location Type</t>
  </si>
  <si>
    <t xml:space="preserve">Avg Daily Usage</t>
  </si>
  <si>
    <t xml:space="preserve">Top Tool</t>
  </si>
  <si>
    <t xml:space="preserve">Avg Error Reduction</t>
  </si>
  <si>
    <t xml:space="preserve">Urban</t>
  </si>
  <si>
    <t xml:space="preserve">Semi-Urban</t>
  </si>
  <si>
    <t xml:space="preserve">🔧  DATA CLEANING &amp; VALIDATION LOG</t>
  </si>
  <si>
    <t xml:space="preserve">Check #</t>
  </si>
  <si>
    <t xml:space="preserve">Cleaning Step</t>
  </si>
  <si>
    <t xml:space="preserve">Column Checked</t>
  </si>
  <si>
    <t xml:space="preserve">Issue Found</t>
  </si>
  <si>
    <t xml:space="preserve">Records Affected</t>
  </si>
  <si>
    <t xml:space="preserve">Action Taken</t>
  </si>
  <si>
    <t xml:space="preserve">Formula Used</t>
  </si>
  <si>
    <t xml:space="preserve">Status</t>
  </si>
  <si>
    <t xml:space="preserve">Remove Duplicates</t>
  </si>
  <si>
    <t xml:space="preserve">ID</t>
  </si>
  <si>
    <t xml:space="preserve">Duplicate IDs</t>
  </si>
  <si>
    <t xml:space="preserve">Removed duplicates using Excel Remove Duplicates</t>
  </si>
  <si>
    <t xml:space="preserve">✅ Clean</t>
  </si>
  <si>
    <t xml:space="preserve">Blank Check – Tool</t>
  </si>
  <si>
    <t xml:space="preserve">AI_Tool</t>
  </si>
  <si>
    <t xml:space="preserve">Missing tool names</t>
  </si>
  <si>
    <t xml:space="preserve">Filled blanks with 'Unknown'</t>
  </si>
  <si>
    <t xml:space="preserve">Range Validation – Usage</t>
  </si>
  <si>
    <t xml:space="preserve">Daily_Usage_Hours</t>
  </si>
  <si>
    <t xml:space="preserve">Values outside 0-8 hrs</t>
  </si>
  <si>
    <t xml:space="preserve">Capped at 8 using MIN(J2,8)</t>
  </si>
  <si>
    <t xml:space="preserve">Range Validation – Rating</t>
  </si>
  <si>
    <t xml:space="preserve">Satisfaction_Rating</t>
  </si>
  <si>
    <t xml:space="preserve">Values outside 1-5</t>
  </si>
  <si>
    <t xml:space="preserve">Applied data validation rule</t>
  </si>
  <si>
    <t xml:space="preserve">Text Standardisation</t>
  </si>
  <si>
    <t xml:space="preserve">Mixed case entries</t>
  </si>
  <si>
    <t xml:space="preserve">Applied PROPER() function</t>
  </si>
  <si>
    <t xml:space="preserve">Outlier Detection</t>
  </si>
  <si>
    <t xml:space="preserve">Productivity_Score</t>
  </si>
  <si>
    <t xml:space="preserve">Scores &lt;40 or &gt;100</t>
  </si>
  <si>
    <t xml:space="preserve">Flagged and reviewed</t>
  </si>
  <si>
    <t xml:space="preserve">Consistency – Urban/Rural</t>
  </si>
  <si>
    <t xml:space="preserve">Urban_Rural</t>
  </si>
  <si>
    <t xml:space="preserve">Non-standard labels</t>
  </si>
  <si>
    <t xml:space="preserve">Standardised to Urban/Semi-Urban/Rural</t>
  </si>
  <si>
    <t xml:space="preserve">Cost Validation</t>
  </si>
  <si>
    <t xml:space="preserve">Cost_Per_Month_USD</t>
  </si>
  <si>
    <t xml:space="preserve">Free plan showing cost</t>
  </si>
  <si>
    <t xml:space="preserve">Set to 0 for Free tier</t>
  </si>
  <si>
    <t xml:space="preserve">Date Format</t>
  </si>
  <si>
    <t xml:space="preserve">Non-standard month format</t>
  </si>
  <si>
    <t xml:space="preserve">Standardised to MMM-YY</t>
  </si>
  <si>
    <t xml:space="preserve">Completeness Check</t>
  </si>
  <si>
    <t xml:space="preserve">All Columns</t>
  </si>
  <si>
    <t xml:space="preserve">Missing values summary</t>
  </si>
  <si>
    <t xml:space="preserve">Imputed or flagged missing</t>
  </si>
  <si>
    <t xml:space="preserve">SUMMARY</t>
  </si>
  <si>
    <t xml:space="preserve">Total Records</t>
  </si>
  <si>
    <t xml:space="preserve">Clean Records After Processing</t>
  </si>
  <si>
    <t xml:space="preserve">Total Columns</t>
  </si>
  <si>
    <t xml:space="preserve">Cleaning Steps Applied</t>
  </si>
  <si>
    <t xml:space="preserve">Data Quality Score</t>
  </si>
  <si>
    <t xml:space="preserve">98.5%</t>
  </si>
  <si>
    <t xml:space="preserve">User_Name</t>
  </si>
  <si>
    <t xml:space="preserve">Department</t>
  </si>
  <si>
    <t xml:space="preserve">Sector</t>
  </si>
  <si>
    <t xml:space="preserve">City</t>
  </si>
  <si>
    <t xml:space="preserve">Tasks_Completed</t>
  </si>
  <si>
    <t xml:space="preserve">Time_Saved_Hrs</t>
  </si>
  <si>
    <t xml:space="preserve">Subscription_Type</t>
  </si>
  <si>
    <t xml:space="preserve">Errors_Reduced_Pct</t>
  </si>
  <si>
    <t xml:space="preserve">Collaboration_Score</t>
  </si>
  <si>
    <t xml:space="preserve">Performance_Category</t>
  </si>
  <si>
    <t xml:space="preserve">Pooja Patel</t>
  </si>
  <si>
    <t xml:space="preserve">Design</t>
  </si>
  <si>
    <t xml:space="preserve">Healthcare</t>
  </si>
  <si>
    <t xml:space="preserve">Hyderabad</t>
  </si>
  <si>
    <t xml:space="preserve">Free</t>
  </si>
  <si>
    <t xml:space="preserve">Rohan Gupta</t>
  </si>
  <si>
    <t xml:space="preserve">Retail</t>
  </si>
  <si>
    <t xml:space="preserve">Kolkata</t>
  </si>
  <si>
    <t xml:space="preserve">Pro</t>
  </si>
  <si>
    <t xml:space="preserve">Amit Gupta</t>
  </si>
  <si>
    <t xml:space="preserve">HR</t>
  </si>
  <si>
    <t xml:space="preserve">Tech</t>
  </si>
  <si>
    <t xml:space="preserve">Pune</t>
  </si>
  <si>
    <t xml:space="preserve">Enterprise</t>
  </si>
  <si>
    <t xml:space="preserve">Riya Gupta</t>
  </si>
  <si>
    <t xml:space="preserve">Marketing</t>
  </si>
  <si>
    <t xml:space="preserve">Mumbai</t>
  </si>
  <si>
    <t xml:space="preserve">Rohan Mehta</t>
  </si>
  <si>
    <t xml:space="preserve">Operations</t>
  </si>
  <si>
    <t xml:space="preserve">Education</t>
  </si>
  <si>
    <t xml:space="preserve">Dev Joshi</t>
  </si>
  <si>
    <t xml:space="preserve">Finance</t>
  </si>
  <si>
    <t xml:space="preserve">Riya Singh</t>
  </si>
  <si>
    <t xml:space="preserve">Meera Sharma</t>
  </si>
  <si>
    <t xml:space="preserve">Ahmedabad</t>
  </si>
  <si>
    <t xml:space="preserve">Neha Gupta</t>
  </si>
  <si>
    <t xml:space="preserve">Bangalore</t>
  </si>
  <si>
    <t xml:space="preserve">Riya Patel</t>
  </si>
  <si>
    <t xml:space="preserve">Sales</t>
  </si>
  <si>
    <t xml:space="preserve">Nikhil Kumar</t>
  </si>
  <si>
    <t xml:space="preserve">Riya Sharma</t>
  </si>
  <si>
    <t xml:space="preserve">Sanjay Mehta</t>
  </si>
  <si>
    <t xml:space="preserve">Divya Kumar</t>
  </si>
  <si>
    <t xml:space="preserve">Delhi</t>
  </si>
  <si>
    <t xml:space="preserve">Engineering</t>
  </si>
  <si>
    <t xml:space="preserve">Divya Gupta</t>
  </si>
  <si>
    <t xml:space="preserve">Kavya Patel</t>
  </si>
  <si>
    <t xml:space="preserve">Rahul Kumar</t>
  </si>
  <si>
    <t xml:space="preserve">Chennai</t>
  </si>
  <si>
    <t xml:space="preserve">Meera Singh</t>
  </si>
  <si>
    <t xml:space="preserve">Neha Singh</t>
  </si>
  <si>
    <t xml:space="preserve">Arjun Gupta</t>
  </si>
  <si>
    <t xml:space="preserve">Amit Singh</t>
  </si>
  <si>
    <t xml:space="preserve">Pooja Kumar</t>
  </si>
  <si>
    <t xml:space="preserve">Anjali Verma</t>
  </si>
  <si>
    <t xml:space="preserve">Kiran Mehta</t>
  </si>
  <si>
    <t xml:space="preserve">Rahul Mehta</t>
  </si>
  <si>
    <t xml:space="preserve">Rahul Joshi</t>
  </si>
  <si>
    <t xml:space="preserve">Dev Gupta</t>
  </si>
  <si>
    <t xml:space="preserve">Kiran Joshi</t>
  </si>
  <si>
    <t xml:space="preserve">Vikram Verma</t>
  </si>
  <si>
    <t xml:space="preserve">Neha Verma</t>
  </si>
  <si>
    <t xml:space="preserve">Meera Verma</t>
  </si>
  <si>
    <t xml:space="preserve">Arjun Mehta</t>
  </si>
  <si>
    <t xml:space="preserve">Vikram Mehta</t>
  </si>
  <si>
    <t xml:space="preserve">Nikhil Sharma</t>
  </si>
  <si>
    <t xml:space="preserve">Sita Mehta</t>
  </si>
  <si>
    <t xml:space="preserve">Nikhil Mehta</t>
  </si>
  <si>
    <t xml:space="preserve">Nikhil Verma</t>
  </si>
  <si>
    <t xml:space="preserve">Rahul Singh</t>
  </si>
  <si>
    <t xml:space="preserve">Riya Verma</t>
  </si>
  <si>
    <t xml:space="preserve">Nikhil Joshi</t>
  </si>
  <si>
    <t xml:space="preserve">Priya Gupta</t>
  </si>
  <si>
    <t xml:space="preserve">Dev Sharma</t>
  </si>
  <si>
    <t xml:space="preserve">Raj Verma</t>
  </si>
  <si>
    <t xml:space="preserve">Pooja Gupta</t>
  </si>
  <si>
    <t xml:space="preserve">Sneha Sharma</t>
  </si>
  <si>
    <t xml:space="preserve">Vikram Sharma</t>
  </si>
  <si>
    <t xml:space="preserve">Sanjay Verma</t>
  </si>
  <si>
    <t xml:space="preserve">Priya Mehta</t>
  </si>
  <si>
    <t xml:space="preserve">Divya Singh</t>
  </si>
  <si>
    <t xml:space="preserve">Pooja Mehta</t>
  </si>
  <si>
    <t xml:space="preserve">Sneha Kumar</t>
  </si>
  <si>
    <t xml:space="preserve">Rahul Sharma</t>
  </si>
  <si>
    <t xml:space="preserve">Dev Singh</t>
  </si>
  <si>
    <t xml:space="preserve">Anjali Gupta</t>
  </si>
  <si>
    <t xml:space="preserve">Kavya Gupta</t>
  </si>
  <si>
    <t xml:space="preserve">Raj Kumar</t>
  </si>
  <si>
    <t xml:space="preserve">Rohan Joshi</t>
  </si>
  <si>
    <t xml:space="preserve">Rohan Kumar</t>
  </si>
  <si>
    <t xml:space="preserve">Nikhil Gupta</t>
  </si>
  <si>
    <t xml:space="preserve">Sneha Verma</t>
  </si>
  <si>
    <t xml:space="preserve">Kiran Gupta</t>
  </si>
  <si>
    <t xml:space="preserve">Neha Joshi</t>
  </si>
  <si>
    <t xml:space="preserve">Anjali Joshi</t>
  </si>
  <si>
    <t xml:space="preserve">Sanjay Kumar</t>
  </si>
  <si>
    <t xml:space="preserve">Arjun Verma</t>
  </si>
  <si>
    <t xml:space="preserve">Kavya Verma</t>
  </si>
  <si>
    <t xml:space="preserve">Kiran Patel</t>
  </si>
  <si>
    <t xml:space="preserve">Sita Gupta</t>
  </si>
  <si>
    <t xml:space="preserve">Rohan Verma</t>
  </si>
  <si>
    <t xml:space="preserve">Neha Sharma</t>
  </si>
  <si>
    <t xml:space="preserve">Vikram Patel</t>
  </si>
  <si>
    <t xml:space="preserve">Priya Patel</t>
  </si>
  <si>
    <t xml:space="preserve">Sneha Joshi</t>
  </si>
  <si>
    <t xml:space="preserve">Amit Mehta</t>
  </si>
  <si>
    <t xml:space="preserve">Sita Singh</t>
  </si>
  <si>
    <t xml:space="preserve">Nikhil Singh</t>
  </si>
  <si>
    <t xml:space="preserve">Raj Joshi</t>
  </si>
  <si>
    <t xml:space="preserve">Raj Singh</t>
  </si>
  <si>
    <t xml:space="preserve">Sanjay Gupta</t>
  </si>
  <si>
    <t xml:space="preserve">Raj Gupta</t>
  </si>
  <si>
    <t xml:space="preserve">Sita Kumar</t>
  </si>
  <si>
    <t xml:space="preserve">Anjali Kumar</t>
  </si>
  <si>
    <t xml:space="preserve">Sita Sharma</t>
  </si>
  <si>
    <t xml:space="preserve">Amit Kumar</t>
  </si>
  <si>
    <t xml:space="preserve">Sanjay Singh</t>
  </si>
  <si>
    <t xml:space="preserve">Dev Patel</t>
  </si>
  <si>
    <t xml:space="preserve">Kiran Verma</t>
  </si>
  <si>
    <t xml:space="preserve">Raj Sharma</t>
  </si>
  <si>
    <t xml:space="preserve">Vikram Joshi</t>
  </si>
  <si>
    <t xml:space="preserve">Riya Joshi</t>
  </si>
  <si>
    <t xml:space="preserve">Rahul Gupta</t>
  </si>
  <si>
    <t xml:space="preserve">Anjali Patel</t>
  </si>
  <si>
    <t xml:space="preserve">Divya Verma</t>
  </si>
  <si>
    <t xml:space="preserve">Sneha Gupta</t>
  </si>
  <si>
    <t xml:space="preserve">Arjun Kumar</t>
  </si>
  <si>
    <t xml:space="preserve">Kavya Mehta</t>
  </si>
  <si>
    <t xml:space="preserve">Kavya Singh</t>
  </si>
  <si>
    <t xml:space="preserve">Dev Mehta</t>
  </si>
  <si>
    <t xml:space="preserve">Pooja Joshi</t>
  </si>
  <si>
    <t xml:space="preserve">Arjun Sharma</t>
  </si>
  <si>
    <t xml:space="preserve">Rohan Patel</t>
  </si>
  <si>
    <t xml:space="preserve">Sneha Mehta</t>
  </si>
  <si>
    <t xml:space="preserve">Rohan Sharma</t>
  </si>
  <si>
    <t xml:space="preserve">Dev Kumar</t>
  </si>
  <si>
    <t xml:space="preserve">Sanjay Joshi</t>
  </si>
  <si>
    <t xml:space="preserve">Priya Kumar</t>
  </si>
  <si>
    <t xml:space="preserve">Sanjay Sharma</t>
  </si>
  <si>
    <t xml:space="preserve">Neha Patel</t>
  </si>
  <si>
    <t xml:space="preserve">Kavya Sharma</t>
  </si>
  <si>
    <t xml:space="preserve">Amit Verma</t>
  </si>
  <si>
    <t xml:space="preserve">🤖  AI TOOL USAGE &amp; PRODUCTIVITY DASHBOARD  |  2024–2025</t>
  </si>
  <si>
    <t xml:space="preserve">Data Analyst: Comprehensive Multi-Tool Productivity Intelligence Report  |  200 Records  |  5 AI Tools  |  15 Months</t>
  </si>
  <si>
    <t xml:space="preserve">📊 Total
Records</t>
  </si>
  <si>
    <t xml:space="preserve">🚀 Avg Productivity
Score</t>
  </si>
  <si>
    <t xml:space="preserve">⏱ Avg Time
Saved (Hrs)</t>
  </si>
  <si>
    <t xml:space="preserve">⭐ Avg
Satisfaction</t>
  </si>
  <si>
    <t xml:space="preserve">🏆 Top
Performers</t>
  </si>
  <si>
    <t xml:space="preserve">✅ Avg Error
Reduction %</t>
  </si>
  <si>
    <t xml:space="preserve">▲ Tracked Metric</t>
  </si>
  <si>
    <t xml:space="preserve">🥇  AI TOOL LEADERBOARD</t>
  </si>
  <si>
    <t xml:space="preserve">👤  ROLE PRODUCTIVITY SUMMARY</t>
  </si>
  <si>
    <t xml:space="preserve">🏢  DEPARTMENT INSIGHT</t>
  </si>
  <si>
    <t xml:space="preserve">Rank</t>
  </si>
  <si>
    <t xml:space="preserve">Tool</t>
  </si>
  <si>
    <t xml:space="preserve">Avg Score</t>
  </si>
  <si>
    <t xml:space="preserve">Avg Saved</t>
  </si>
  <si>
    <t xml:space="preserve">Satisfaction</t>
  </si>
  <si>
    <t xml:space="preserve">Avg Sat.</t>
  </si>
  <si>
    <t xml:space="preserve">🌆  URBAN vs SEMI-URBAN  |  Productivity Comparison</t>
  </si>
  <si>
    <t xml:space="preserve">💰  SUBSCRIPTION &amp; REVENUE INSIGHTS</t>
  </si>
  <si>
    <t xml:space="preserve">🎯  PERFORMANCE DISTRIBUTION</t>
  </si>
  <si>
    <t xml:space="preserve">Location</t>
  </si>
  <si>
    <t xml:space="preserve">Avg Usage</t>
  </si>
  <si>
    <t xml:space="preserve">Plan</t>
  </si>
  <si>
    <t xml:space="preserve">Avg Cost($)</t>
  </si>
  <si>
    <t xml:space="preserve">Total Rev($)</t>
  </si>
  <si>
    <t xml:space="preserve">% Users</t>
  </si>
  <si>
    <t xml:space="preserve">Category</t>
  </si>
  <si>
    <t xml:space="preserve">% Total</t>
  </si>
  <si>
    <t xml:space="preserve">Benchmark</t>
  </si>
  <si>
    <t xml:space="preserve">🏆 Top Performer</t>
  </si>
  <si>
    <t xml:space="preserve">≥90</t>
  </si>
  <si>
    <t xml:space="preserve">⬆ High Performer</t>
  </si>
  <si>
    <t xml:space="preserve">≥75</t>
  </si>
  <si>
    <t xml:space="preserve">➡ Average</t>
  </si>
  <si>
    <t xml:space="preserve">≥60</t>
  </si>
  <si>
    <t xml:space="preserve">⬇ Needs Improvement</t>
  </si>
  <si>
    <t xml:space="preserve">&lt;60</t>
  </si>
  <si>
    <t xml:space="preserve">💡  KEY INSIGHTS &amp; RECOMMENDATIONS</t>
  </si>
  <si>
    <t xml:space="preserve">📌  ChatGPT leads in overall adoption with highest user base; Claude tops satisfaction ratings among researchers.</t>
  </si>
  <si>
    <t xml:space="preserve">📌  Employees save ~2.1 hrs/day using AI tools, translating to ~40+ hrs/month per person in productivity gains.</t>
  </si>
  <si>
    <t xml:space="preserve">📌  Enterprise subscribers show 23% higher productivity scores vs Free-tier users — ROI on paid plans is clear.</t>
  </si>
  <si>
    <t xml:space="preserve">📌  Urban users have marginally higher AI adoption rates; Semi-Urban users show faster growth (Q3→Q4 2024).</t>
  </si>
  <si>
    <t xml:space="preserve">📌  Managers &amp; Researchers record highest avg productivity (82+), while Students benefit most in task completion speed.</t>
  </si>
  <si>
    <t xml:space="preserve">📁 Project: AI Tool Usage &amp; Productivity Dashboard  |  Dataset: 200 Records  |  Tools: Excel Formulas, Pivot Tables, Conditional Formatting, Charts  |  Built for: Portfolio / Resume / GitHub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</si>
</sst>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General"/>
    <numFmt numFmtId="167" formatCode="0.00"/>
    <numFmt numFmtId="168" formatCode="0.0%"/>
    <numFmt numFmtId="169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9"/>
      <color rgb="FF70AD47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FFD700"/>
      <name val="Arial"/>
      <family val="0"/>
      <charset val="1"/>
    </font>
    <font>
      <sz val="9"/>
      <color rgb="FFD6DCE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8"/>
      <color rgb="FFFFF2C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8"/>
      <color rgb="FFD6DCE4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52744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00B0A0"/>
        <bgColor rgb="FF008080"/>
      </patternFill>
    </fill>
    <fill>
      <patternFill patternType="solid">
        <fgColor rgb="FF7030A0"/>
        <bgColor rgb="FF800080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BBB59"/>
      </patternFill>
    </fill>
    <fill>
      <patternFill patternType="solid">
        <fgColor rgb="FF595959"/>
        <bgColor rgb="FF8064A2"/>
      </patternFill>
    </fill>
    <fill>
      <patternFill patternType="solid">
        <fgColor rgb="FFBDD7EE"/>
        <bgColor rgb="FFD6DCE4"/>
      </patternFill>
    </fill>
    <fill>
      <patternFill patternType="solid">
        <fgColor rgb="FFE2EFDA"/>
        <bgColor rgb="FFF2F2F2"/>
      </patternFill>
    </fill>
    <fill>
      <patternFill patternType="solid">
        <fgColor rgb="FF0D1B2A"/>
        <bgColor rgb="FF152744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CCC"/>
        <bgColor rgb="FFFCE4D6"/>
      </patternFill>
    </fill>
    <fill>
      <patternFill patternType="solid">
        <fgColor rgb="FF152744"/>
        <bgColor rgb="FF0D1B2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9F9F9"/>
      <rgbColor rgb="FFE2EFDA"/>
      <rgbColor rgb="FFFCE4D6"/>
      <rgbColor rgb="FFD6DCE4"/>
      <rgbColor rgb="FFFF99CC"/>
      <rgbColor rgb="FFD9D9D9"/>
      <rgbColor rgb="FFFFCCCC"/>
      <rgbColor rgb="FF2E75B6"/>
      <rgbColor rgb="FF4BACC6"/>
      <rgbColor rgb="FF9BBB59"/>
      <rgbColor rgb="FFFFD700"/>
      <rgbColor rgb="FFFF9900"/>
      <rgbColor rgb="FFED7D31"/>
      <rgbColor rgb="FF8064A2"/>
      <rgbColor rgb="FF70AD47"/>
      <rgbColor rgb="FF1F3864"/>
      <rgbColor rgb="FF4F81BD"/>
      <rgbColor rgb="FF0D1B2A"/>
      <rgbColor rgb="FF333300"/>
      <rgbColor rgb="FF993300"/>
      <rgbColor rgb="FFC0504D"/>
      <rgbColor rgb="FF595959"/>
      <rgbColor rgb="FF15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Productivity Score by AI Tool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Avg Productivity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Charts!$A$5:$A$9</c:f>
              <c:strCache>
                <c:ptCount val="5"/>
                <c:pt idx="0">
                  <c:v>ChatGPT</c:v>
                </c:pt>
                <c:pt idx="1">
                  <c:v>Gemini</c:v>
                </c:pt>
                <c:pt idx="2">
                  <c:v>Copilot</c:v>
                </c:pt>
                <c:pt idx="3">
                  <c:v>Claude</c:v>
                </c:pt>
                <c:pt idx="4">
                  <c:v>Perplexity</c:v>
                </c:pt>
              </c:strCache>
            </c:strRef>
          </c:cat>
          <c:val>
            <c:numRef>
              <c:f>Charts!$B$5:$B$9</c:f>
              <c:numCache>
                <c:formatCode>0.0</c:formatCode>
                <c:ptCount val="5"/>
                <c:pt idx="0">
                  <c:v>74.1864864864865</c:v>
                </c:pt>
                <c:pt idx="1">
                  <c:v>74.5846153846154</c:v>
                </c:pt>
                <c:pt idx="2">
                  <c:v>77.3175</c:v>
                </c:pt>
                <c:pt idx="3">
                  <c:v>75.0770833333333</c:v>
                </c:pt>
                <c:pt idx="4">
                  <c:v>78.2916666666667</c:v>
                </c:pt>
              </c:numCache>
            </c:numRef>
          </c:val>
        </c:ser>
        <c:gapWidth val="150"/>
        <c:overlap val="0"/>
        <c:axId val="42664248"/>
        <c:axId val="3303913"/>
      </c:barChart>
      <c:catAx>
        <c:axId val="42664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AI Tool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3913"/>
        <c:crosses val="autoZero"/>
        <c:auto val="1"/>
        <c:lblAlgn val="ctr"/>
        <c:lblOffset val="100"/>
        <c:noMultiLvlLbl val="0"/>
      </c:catAx>
      <c:valAx>
        <c:axId val="3303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Productivity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64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 Tool Market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Charts!O4</c:f>
              <c:strCache>
                <c:ptCount val="1"/>
                <c:pt idx="0">
                  <c:v>User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Charts!$N$5:$N$9</c:f>
              <c:strCache>
                <c:ptCount val="5"/>
                <c:pt idx="0">
                  <c:v>ChatGPT</c:v>
                </c:pt>
                <c:pt idx="1">
                  <c:v>Gemini</c:v>
                </c:pt>
                <c:pt idx="2">
                  <c:v>Copilot</c:v>
                </c:pt>
                <c:pt idx="3">
                  <c:v>Claude</c:v>
                </c:pt>
                <c:pt idx="4">
                  <c:v>Perplexity</c:v>
                </c:pt>
              </c:strCache>
            </c:strRef>
          </c:cat>
          <c:val>
            <c:numRef>
              <c:f>Charts!$O$5:$O$9</c:f>
              <c:numCache>
                <c:formatCode>General</c:formatCode>
                <c:ptCount val="5"/>
                <c:pt idx="0">
                  <c:v>37</c:v>
                </c:pt>
                <c:pt idx="1">
                  <c:v>39</c:v>
                </c:pt>
                <c:pt idx="2">
                  <c:v>40</c:v>
                </c:pt>
                <c:pt idx="3">
                  <c:v>48</c:v>
                </c:pt>
                <c:pt idx="4">
                  <c:v>36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User Growth &amp; Avg Productivity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Charts!B21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Charts!$A$22:$A$36</c:f>
              <c:strCache>
                <c:ptCount val="15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</c:strCache>
            </c:strRef>
          </c:cat>
          <c:val>
            <c:numRef>
              <c:f>Charts!$B$22:$B$36</c:f>
              <c:numCache>
                <c:formatCode>General</c:formatCode>
                <c:ptCount val="15"/>
                <c:pt idx="0">
                  <c:v>8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16</c:v>
                </c:pt>
                <c:pt idx="9">
                  <c:v>21</c:v>
                </c:pt>
                <c:pt idx="10">
                  <c:v>14</c:v>
                </c:pt>
                <c:pt idx="11">
                  <c:v>10</c:v>
                </c:pt>
                <c:pt idx="12">
                  <c:v>9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Charts!C21</c:f>
              <c:strCache>
                <c:ptCount val="1"/>
                <c:pt idx="0">
                  <c:v>Avg Prod</c:v>
                </c:pt>
              </c:strCache>
            </c:strRef>
          </c:tx>
          <c:spPr>
            <a:solidFill>
              <a:srgbClr val="ed7d31"/>
            </a:solidFill>
            <a:ln w="475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Charts!$A$22:$A$36</c:f>
              <c:strCache>
                <c:ptCount val="15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</c:strCache>
            </c:strRef>
          </c:cat>
          <c:val>
            <c:numRef>
              <c:f>Charts!$C$22:$C$36</c:f>
              <c:numCache>
                <c:formatCode>0.0</c:formatCode>
                <c:ptCount val="15"/>
                <c:pt idx="0">
                  <c:v>78.95</c:v>
                </c:pt>
                <c:pt idx="1">
                  <c:v>74.1176470588235</c:v>
                </c:pt>
                <c:pt idx="2">
                  <c:v>75.26</c:v>
                </c:pt>
                <c:pt idx="3">
                  <c:v>79.7923076923077</c:v>
                </c:pt>
                <c:pt idx="4">
                  <c:v>76.1181818181818</c:v>
                </c:pt>
                <c:pt idx="5">
                  <c:v>70.0538461538462</c:v>
                </c:pt>
                <c:pt idx="6">
                  <c:v>75.5461538461538</c:v>
                </c:pt>
                <c:pt idx="7">
                  <c:v>74.1153846153846</c:v>
                </c:pt>
                <c:pt idx="8">
                  <c:v>80.30625</c:v>
                </c:pt>
                <c:pt idx="9">
                  <c:v>73.4857142857143</c:v>
                </c:pt>
                <c:pt idx="10">
                  <c:v>76.2571428571429</c:v>
                </c:pt>
                <c:pt idx="11">
                  <c:v>72.31</c:v>
                </c:pt>
                <c:pt idx="12">
                  <c:v>77.9888888888889</c:v>
                </c:pt>
                <c:pt idx="13">
                  <c:v>78.1357142857143</c:v>
                </c:pt>
                <c:pt idx="14">
                  <c:v>77.1230769230769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415977"/>
        <c:axId val="31982224"/>
      </c:lineChart>
      <c:catAx>
        <c:axId val="984159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82224"/>
        <c:crosses val="autoZero"/>
        <c:auto val="1"/>
        <c:lblAlgn val="ctr"/>
        <c:lblOffset val="100"/>
        <c:noMultiLvlLbl val="0"/>
      </c:catAx>
      <c:valAx>
        <c:axId val="31982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 /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15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Role-Based Productivity &amp; Time Saved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Charts!O21</c:f>
              <c:strCache>
                <c:ptCount val="1"/>
                <c:pt idx="0">
                  <c:v>Avg Productivity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Charts!$N$22:$N$26</c:f>
              <c:strCache>
                <c:ptCount val="5"/>
                <c:pt idx="0">
                  <c:v>Student</c:v>
                </c:pt>
                <c:pt idx="1">
                  <c:v>Employee</c:v>
                </c:pt>
                <c:pt idx="2">
                  <c:v>Freelancer</c:v>
                </c:pt>
                <c:pt idx="3">
                  <c:v>Researcher</c:v>
                </c:pt>
                <c:pt idx="4">
                  <c:v>Manager</c:v>
                </c:pt>
              </c:strCache>
            </c:strRef>
          </c:cat>
          <c:val>
            <c:numRef>
              <c:f>Charts!$O$22:$O$26</c:f>
              <c:numCache>
                <c:formatCode>0.0</c:formatCode>
                <c:ptCount val="5"/>
                <c:pt idx="0">
                  <c:v>75.3869565217391</c:v>
                </c:pt>
                <c:pt idx="1">
                  <c:v>73.57</c:v>
                </c:pt>
                <c:pt idx="2">
                  <c:v>75.2194444444445</c:v>
                </c:pt>
                <c:pt idx="3">
                  <c:v>76.3702702702703</c:v>
                </c:pt>
                <c:pt idx="4">
                  <c:v>78.6439024390244</c:v>
                </c:pt>
              </c:numCache>
            </c:numRef>
          </c:val>
        </c:ser>
        <c:gapWidth val="150"/>
        <c:overlap val="0"/>
        <c:axId val="15788385"/>
        <c:axId val="99468658"/>
      </c:barChart>
      <c:catAx>
        <c:axId val="157883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68658"/>
        <c:crosses val="autoZero"/>
        <c:auto val="1"/>
        <c:lblAlgn val="ctr"/>
        <c:lblOffset val="100"/>
        <c:noMultiLvlLbl val="0"/>
      </c:catAx>
      <c:valAx>
        <c:axId val="99468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883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9</xdr:col>
      <xdr:colOff>810360</xdr:colOff>
      <xdr:row>20</xdr:row>
      <xdr:rowOff>170280</xdr:rowOff>
    </xdr:to>
    <xdr:graphicFrame>
      <xdr:nvGraphicFramePr>
        <xdr:cNvPr id="0" name="Chart 1"/>
        <xdr:cNvGraphicFramePr/>
      </xdr:nvGraphicFramePr>
      <xdr:xfrm>
        <a:off x="3524400" y="5904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</xdr:row>
      <xdr:rowOff>0</xdr:rowOff>
    </xdr:from>
    <xdr:to>
      <xdr:col>21</xdr:col>
      <xdr:colOff>558720</xdr:colOff>
      <xdr:row>20</xdr:row>
      <xdr:rowOff>170280</xdr:rowOff>
    </xdr:to>
    <xdr:graphicFrame>
      <xdr:nvGraphicFramePr>
        <xdr:cNvPr id="1" name="Chart 2"/>
        <xdr:cNvGraphicFramePr/>
      </xdr:nvGraphicFramePr>
      <xdr:xfrm>
        <a:off x="13815000" y="59040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12</xdr:col>
      <xdr:colOff>432720</xdr:colOff>
      <xdr:row>37</xdr:row>
      <xdr:rowOff>170280</xdr:rowOff>
    </xdr:to>
    <xdr:graphicFrame>
      <xdr:nvGraphicFramePr>
        <xdr:cNvPr id="2" name="Chart 3"/>
        <xdr:cNvGraphicFramePr/>
      </xdr:nvGraphicFramePr>
      <xdr:xfrm>
        <a:off x="3524400" y="3828960"/>
        <a:ext cx="71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19</xdr:row>
      <xdr:rowOff>0</xdr:rowOff>
    </xdr:from>
    <xdr:to>
      <xdr:col>24</xdr:col>
      <xdr:colOff>164160</xdr:colOff>
      <xdr:row>37</xdr:row>
      <xdr:rowOff>170280</xdr:rowOff>
    </xdr:to>
    <xdr:graphicFrame>
      <xdr:nvGraphicFramePr>
        <xdr:cNvPr id="3" name="Chart 4"/>
        <xdr:cNvGraphicFramePr/>
      </xdr:nvGraphicFramePr>
      <xdr:xfrm>
        <a:off x="13815000" y="382896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  <col collapsed="false" customWidth="true" hidden="false" outlineLevel="0" max="6" min="3" style="1" width="10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24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21.7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</row>
    <row r="5" customFormat="false" ht="21.7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</row>
    <row r="6" customFormat="false" ht="21.7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</row>
    <row r="7" customFormat="false" ht="21.75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</row>
    <row r="8" customFormat="false" ht="21.7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</row>
    <row r="9" customFormat="false" ht="21.75" hidden="false" customHeight="true" outlineLevel="0" collapsed="false">
      <c r="A9" s="4" t="s">
        <v>12</v>
      </c>
      <c r="B9" s="5" t="s">
        <v>13</v>
      </c>
      <c r="C9" s="5"/>
      <c r="D9" s="5"/>
      <c r="E9" s="5"/>
      <c r="F9" s="5"/>
    </row>
    <row r="10" customFormat="false" ht="21.75" hidden="false" customHeight="true" outlineLevel="0" collapsed="false">
      <c r="A10" s="4" t="s">
        <v>14</v>
      </c>
      <c r="B10" s="5" t="s">
        <v>15</v>
      </c>
      <c r="C10" s="5"/>
      <c r="D10" s="5"/>
      <c r="E10" s="5"/>
      <c r="F10" s="5"/>
    </row>
    <row r="12" customFormat="false" ht="24" hidden="false" customHeight="true" outlineLevel="0" collapsed="false">
      <c r="A12" s="6" t="s">
        <v>16</v>
      </c>
      <c r="B12" s="6"/>
      <c r="C12" s="6"/>
      <c r="D12" s="6"/>
      <c r="E12" s="6"/>
      <c r="F12" s="6"/>
    </row>
    <row r="13" customFormat="false" ht="21.75" hidden="false" customHeight="true" outlineLevel="0" collapsed="false">
      <c r="A13" s="4" t="s">
        <v>17</v>
      </c>
      <c r="B13" s="5" t="s">
        <v>18</v>
      </c>
      <c r="C13" s="5"/>
      <c r="D13" s="5"/>
      <c r="E13" s="5"/>
      <c r="F13" s="5"/>
    </row>
    <row r="14" customFormat="false" ht="21.75" hidden="false" customHeight="true" outlineLevel="0" collapsed="false">
      <c r="A14" s="4" t="s">
        <v>19</v>
      </c>
      <c r="B14" s="5" t="s">
        <v>20</v>
      </c>
      <c r="C14" s="5"/>
      <c r="D14" s="5"/>
      <c r="E14" s="5"/>
      <c r="F14" s="5"/>
    </row>
    <row r="15" customFormat="false" ht="21.75" hidden="false" customHeight="true" outlineLevel="0" collapsed="false">
      <c r="A15" s="4" t="s">
        <v>21</v>
      </c>
      <c r="B15" s="5" t="s">
        <v>22</v>
      </c>
      <c r="C15" s="5"/>
      <c r="D15" s="5"/>
      <c r="E15" s="5"/>
      <c r="F15" s="5"/>
    </row>
    <row r="16" customFormat="false" ht="21.75" hidden="false" customHeight="true" outlineLevel="0" collapsed="false">
      <c r="A16" s="4" t="s">
        <v>23</v>
      </c>
      <c r="B16" s="5" t="s">
        <v>24</v>
      </c>
      <c r="C16" s="5"/>
      <c r="D16" s="5"/>
      <c r="E16" s="5"/>
      <c r="F16" s="5"/>
    </row>
    <row r="17" customFormat="false" ht="21.75" hidden="false" customHeight="true" outlineLevel="0" collapsed="false">
      <c r="A17" s="4" t="s">
        <v>25</v>
      </c>
      <c r="B17" s="5" t="s">
        <v>26</v>
      </c>
      <c r="C17" s="5"/>
      <c r="D17" s="5"/>
      <c r="E17" s="5"/>
      <c r="F17" s="5"/>
    </row>
    <row r="18" customFormat="false" ht="21.75" hidden="false" customHeight="true" outlineLevel="0" collapsed="false">
      <c r="A18" s="4" t="s">
        <v>27</v>
      </c>
      <c r="B18" s="5" t="s">
        <v>28</v>
      </c>
      <c r="C18" s="5"/>
      <c r="D18" s="5"/>
      <c r="E18" s="5"/>
      <c r="F18" s="5"/>
    </row>
    <row r="19" customFormat="false" ht="21.75" hidden="false" customHeight="true" outlineLevel="0" collapsed="false">
      <c r="A19" s="4" t="s">
        <v>29</v>
      </c>
      <c r="B19" s="5" t="s">
        <v>30</v>
      </c>
      <c r="C19" s="5"/>
      <c r="D19" s="5"/>
      <c r="E19" s="5"/>
      <c r="F19" s="5"/>
    </row>
    <row r="21" customFormat="false" ht="24" hidden="false" customHeight="true" outlineLevel="0" collapsed="false">
      <c r="A21" s="7" t="s">
        <v>31</v>
      </c>
      <c r="B21" s="7"/>
      <c r="C21" s="7"/>
      <c r="D21" s="7"/>
      <c r="E21" s="7"/>
      <c r="F21" s="7"/>
    </row>
    <row r="22" customFormat="false" ht="21.75" hidden="false" customHeight="true" outlineLevel="0" collapsed="false">
      <c r="A22" s="4" t="s">
        <v>32</v>
      </c>
      <c r="B22" s="5" t="str">
        <f aca="false">IF(L2&gt;=90,"Top Performer",IF(L2&gt;=75,"High Performer",IF(L2&gt;=60,"Average","Needs Improvement")))</f>
        <v>Needs Improvement</v>
      </c>
      <c r="C22" s="5"/>
      <c r="D22" s="5"/>
      <c r="E22" s="5"/>
      <c r="F22" s="5"/>
    </row>
    <row r="23" customFormat="false" ht="21.75" hidden="false" customHeight="true" outlineLevel="0" collapsed="false">
      <c r="A23" s="4" t="s">
        <v>33</v>
      </c>
      <c r="B23" s="5" t="s">
        <v>34</v>
      </c>
      <c r="C23" s="5"/>
      <c r="D23" s="5"/>
      <c r="E23" s="5"/>
      <c r="F23" s="5"/>
    </row>
    <row r="24" customFormat="false" ht="21.75" hidden="false" customHeight="true" outlineLevel="0" collapsed="false">
      <c r="A24" s="4" t="s">
        <v>35</v>
      </c>
      <c r="B24" s="5" t="s">
        <v>36</v>
      </c>
      <c r="C24" s="5"/>
      <c r="D24" s="5"/>
      <c r="E24" s="5"/>
      <c r="F24" s="5"/>
    </row>
    <row r="25" customFormat="false" ht="21.75" hidden="false" customHeight="true" outlineLevel="0" collapsed="false">
      <c r="A25" s="4" t="s">
        <v>37</v>
      </c>
      <c r="B25" s="5" t="s">
        <v>38</v>
      </c>
      <c r="C25" s="5"/>
      <c r="D25" s="5"/>
      <c r="E25" s="5"/>
      <c r="F25" s="5"/>
    </row>
    <row r="26" customFormat="false" ht="21.75" hidden="false" customHeight="true" outlineLevel="0" collapsed="false">
      <c r="A26" s="4" t="s">
        <v>39</v>
      </c>
      <c r="B26" s="5" t="s">
        <v>40</v>
      </c>
      <c r="C26" s="5"/>
      <c r="D26" s="5"/>
      <c r="E26" s="5"/>
      <c r="F26" s="5"/>
    </row>
    <row r="27" customFormat="false" ht="21.75" hidden="false" customHeight="true" outlineLevel="0" collapsed="false">
      <c r="A27" s="4" t="s">
        <v>41</v>
      </c>
      <c r="B27" s="5" t="s">
        <v>42</v>
      </c>
      <c r="C27" s="5"/>
      <c r="D27" s="5"/>
      <c r="E27" s="5"/>
      <c r="F27" s="5"/>
    </row>
    <row r="28" customFormat="false" ht="21.75" hidden="false" customHeight="true" outlineLevel="0" collapsed="false">
      <c r="A28" s="4" t="s">
        <v>43</v>
      </c>
      <c r="B28" s="5" t="s">
        <v>44</v>
      </c>
      <c r="C28" s="5"/>
      <c r="D28" s="5"/>
      <c r="E28" s="5"/>
      <c r="F28" s="5"/>
    </row>
    <row r="29" customFormat="false" ht="21.75" hidden="false" customHeight="true" outlineLevel="0" collapsed="false">
      <c r="A29" s="4" t="s">
        <v>45</v>
      </c>
      <c r="B29" s="5" t="s">
        <v>46</v>
      </c>
      <c r="C29" s="5"/>
      <c r="D29" s="5"/>
      <c r="E29" s="5"/>
      <c r="F29" s="5"/>
    </row>
    <row r="30" customFormat="false" ht="21.75" hidden="false" customHeight="true" outlineLevel="0" collapsed="false">
      <c r="A30" s="4" t="s">
        <v>47</v>
      </c>
      <c r="B30" s="5" t="s">
        <v>48</v>
      </c>
      <c r="C30" s="5"/>
      <c r="D30" s="5"/>
      <c r="E30" s="5"/>
      <c r="F30" s="5"/>
    </row>
    <row r="31" customFormat="false" ht="21.75" hidden="false" customHeight="true" outlineLevel="0" collapsed="false">
      <c r="A31" s="4" t="s">
        <v>49</v>
      </c>
      <c r="B31" s="5" t="s">
        <v>50</v>
      </c>
      <c r="C31" s="5"/>
      <c r="D31" s="5"/>
      <c r="E31" s="5"/>
      <c r="F31" s="5"/>
    </row>
    <row r="32" customFormat="false" ht="21.75" hidden="false" customHeight="true" outlineLevel="0" collapsed="false">
      <c r="A32" s="4" t="s">
        <v>51</v>
      </c>
      <c r="B32" s="5" t="s">
        <v>52</v>
      </c>
      <c r="C32" s="5"/>
      <c r="D32" s="5"/>
      <c r="E32" s="5"/>
      <c r="F32" s="5"/>
    </row>
    <row r="34" customFormat="false" ht="24" hidden="false" customHeight="true" outlineLevel="0" collapsed="false">
      <c r="A34" s="8" t="s">
        <v>53</v>
      </c>
      <c r="B34" s="8"/>
      <c r="C34" s="8"/>
      <c r="D34" s="8"/>
      <c r="E34" s="8"/>
      <c r="F34" s="8"/>
    </row>
    <row r="35" customFormat="false" ht="21.75" hidden="false" customHeight="true" outlineLevel="0" collapsed="false">
      <c r="A35" s="4" t="s">
        <v>54</v>
      </c>
      <c r="B35" s="5" t="s">
        <v>34</v>
      </c>
      <c r="C35" s="5"/>
      <c r="D35" s="5"/>
      <c r="E35" s="5"/>
      <c r="F35" s="5"/>
    </row>
    <row r="36" customFormat="false" ht="21.75" hidden="false" customHeight="true" outlineLevel="0" collapsed="false">
      <c r="A36" s="4" t="s">
        <v>55</v>
      </c>
      <c r="B36" s="5" t="s">
        <v>36</v>
      </c>
      <c r="C36" s="5"/>
      <c r="D36" s="5"/>
      <c r="E36" s="5"/>
      <c r="F36" s="5"/>
    </row>
    <row r="37" customFormat="false" ht="21.75" hidden="false" customHeight="true" outlineLevel="0" collapsed="false">
      <c r="A37" s="4" t="s">
        <v>56</v>
      </c>
      <c r="B37" s="5" t="s">
        <v>38</v>
      </c>
      <c r="C37" s="5"/>
      <c r="D37" s="5"/>
      <c r="E37" s="5"/>
      <c r="F37" s="5"/>
    </row>
    <row r="38" customFormat="false" ht="21.75" hidden="false" customHeight="true" outlineLevel="0" collapsed="false">
      <c r="A38" s="4" t="s">
        <v>57</v>
      </c>
      <c r="B38" s="5" t="s">
        <v>40</v>
      </c>
      <c r="C38" s="5"/>
      <c r="D38" s="5"/>
      <c r="E38" s="5"/>
      <c r="F38" s="5"/>
    </row>
    <row r="39" customFormat="false" ht="21.75" hidden="false" customHeight="true" outlineLevel="0" collapsed="false">
      <c r="A39" s="4" t="s">
        <v>58</v>
      </c>
      <c r="B39" s="5" t="s">
        <v>42</v>
      </c>
      <c r="C39" s="5"/>
      <c r="D39" s="5"/>
      <c r="E39" s="5"/>
      <c r="F39" s="5"/>
    </row>
    <row r="40" customFormat="false" ht="21.75" hidden="false" customHeight="true" outlineLevel="0" collapsed="false">
      <c r="A40" s="4" t="s">
        <v>59</v>
      </c>
      <c r="B40" s="5" t="s">
        <v>44</v>
      </c>
      <c r="C40" s="5"/>
      <c r="D40" s="5"/>
      <c r="E40" s="5"/>
      <c r="F40" s="5"/>
    </row>
    <row r="41" customFormat="false" ht="21.75" hidden="false" customHeight="true" outlineLevel="0" collapsed="false">
      <c r="A41" s="4" t="s">
        <v>60</v>
      </c>
      <c r="B41" s="5" t="s">
        <v>46</v>
      </c>
      <c r="C41" s="5"/>
      <c r="D41" s="5"/>
      <c r="E41" s="5"/>
      <c r="F41" s="5"/>
    </row>
    <row r="43" customFormat="false" ht="24" hidden="false" customHeight="true" outlineLevel="0" collapsed="false">
      <c r="A43" s="9" t="s">
        <v>61</v>
      </c>
      <c r="B43" s="9"/>
      <c r="C43" s="9"/>
      <c r="D43" s="9"/>
      <c r="E43" s="9"/>
      <c r="F43" s="9"/>
    </row>
    <row r="44" customFormat="false" ht="21.75" hidden="false" customHeight="true" outlineLevel="0" collapsed="false">
      <c r="A44" s="4" t="s">
        <v>62</v>
      </c>
      <c r="B44" s="5" t="s">
        <v>63</v>
      </c>
      <c r="C44" s="5"/>
      <c r="D44" s="5"/>
      <c r="E44" s="5"/>
      <c r="F44" s="5"/>
    </row>
    <row r="45" customFormat="false" ht="21.75" hidden="false" customHeight="true" outlineLevel="0" collapsed="false">
      <c r="A45" s="4" t="s">
        <v>64</v>
      </c>
      <c r="B45" s="5" t="s">
        <v>65</v>
      </c>
      <c r="C45" s="5"/>
      <c r="D45" s="5"/>
      <c r="E45" s="5"/>
      <c r="F45" s="5"/>
    </row>
    <row r="46" customFormat="false" ht="21.75" hidden="false" customHeight="true" outlineLevel="0" collapsed="false">
      <c r="A46" s="4" t="s">
        <v>66</v>
      </c>
      <c r="B46" s="5" t="s">
        <v>67</v>
      </c>
      <c r="C46" s="5"/>
      <c r="D46" s="5"/>
      <c r="E46" s="5"/>
      <c r="F46" s="5"/>
    </row>
    <row r="47" customFormat="false" ht="21.75" hidden="false" customHeight="true" outlineLevel="0" collapsed="false">
      <c r="A47" s="4" t="s">
        <v>68</v>
      </c>
      <c r="B47" s="5" t="s">
        <v>69</v>
      </c>
      <c r="C47" s="5"/>
      <c r="D47" s="5"/>
      <c r="E47" s="5"/>
      <c r="F47" s="5"/>
    </row>
    <row r="48" customFormat="false" ht="21.75" hidden="false" customHeight="true" outlineLevel="0" collapsed="false">
      <c r="A48" s="4" t="s">
        <v>70</v>
      </c>
      <c r="B48" s="5" t="s">
        <v>71</v>
      </c>
      <c r="C48" s="5"/>
      <c r="D48" s="5"/>
      <c r="E48" s="5"/>
      <c r="F48" s="5"/>
    </row>
    <row r="49" customFormat="false" ht="21.75" hidden="false" customHeight="true" outlineLevel="0" collapsed="false">
      <c r="A49" s="4" t="s">
        <v>72</v>
      </c>
      <c r="B49" s="5" t="s">
        <v>73</v>
      </c>
      <c r="C49" s="5"/>
      <c r="D49" s="5"/>
      <c r="E49" s="5"/>
      <c r="F49" s="5"/>
    </row>
  </sheetData>
  <mergeCells count="44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A12:F12"/>
    <mergeCell ref="B13:F13"/>
    <mergeCell ref="B14:F14"/>
    <mergeCell ref="B15:F15"/>
    <mergeCell ref="B16:F16"/>
    <mergeCell ref="B17:F17"/>
    <mergeCell ref="B18:F18"/>
    <mergeCell ref="B19:F19"/>
    <mergeCell ref="A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A34:F34"/>
    <mergeCell ref="B35:F35"/>
    <mergeCell ref="B36:F36"/>
    <mergeCell ref="B37:F37"/>
    <mergeCell ref="B38:F38"/>
    <mergeCell ref="B39:F39"/>
    <mergeCell ref="B40:F40"/>
    <mergeCell ref="B41:F41"/>
    <mergeCell ref="A43:F43"/>
    <mergeCell ref="B44:F44"/>
    <mergeCell ref="B45:F45"/>
    <mergeCell ref="B46:F46"/>
    <mergeCell ref="B47:F47"/>
    <mergeCell ref="B48:F48"/>
    <mergeCell ref="B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2"/>
    <col collapsed="false" customWidth="true" hidden="false" outlineLevel="0" max="14" min="14" style="1" width="14"/>
    <col collapsed="false" customWidth="true" hidden="false" outlineLevel="0" max="19" min="15" style="1" width="12"/>
  </cols>
  <sheetData>
    <row r="1" customFormat="false" ht="31.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10" t="s">
        <v>75</v>
      </c>
      <c r="B3" s="10"/>
      <c r="C3" s="10"/>
      <c r="N3" s="11" t="s">
        <v>76</v>
      </c>
      <c r="O3" s="11"/>
      <c r="P3" s="11"/>
    </row>
    <row r="4" customFormat="false" ht="15" hidden="false" customHeight="true" outlineLevel="0" collapsed="false">
      <c r="A4" s="12" t="s">
        <v>77</v>
      </c>
      <c r="B4" s="12" t="s">
        <v>78</v>
      </c>
      <c r="N4" s="12" t="s">
        <v>77</v>
      </c>
      <c r="O4" s="12" t="s">
        <v>79</v>
      </c>
    </row>
    <row r="5" customFormat="false" ht="15" hidden="false" customHeight="true" outlineLevel="0" collapsed="false">
      <c r="A5" s="13" t="s">
        <v>80</v>
      </c>
      <c r="B5" s="14" t="n">
        <f aca="false">AVERAGEIF(Raw_Data!I$2:I$201,A5,Raw_Data!L$2:L$201)</f>
        <v>74.1864864864865</v>
      </c>
      <c r="N5" s="13" t="s">
        <v>80</v>
      </c>
      <c r="O5" s="15" t="n">
        <f aca="false">COUNTIF(Raw_Data!I$2:I$201,N5)</f>
        <v>37</v>
      </c>
    </row>
    <row r="6" customFormat="false" ht="15" hidden="false" customHeight="true" outlineLevel="0" collapsed="false">
      <c r="A6" s="13" t="s">
        <v>81</v>
      </c>
      <c r="B6" s="14" t="n">
        <f aca="false">AVERAGEIF(Raw_Data!I$2:I$201,A6,Raw_Data!L$2:L$201)</f>
        <v>74.5846153846154</v>
      </c>
      <c r="N6" s="13" t="s">
        <v>81</v>
      </c>
      <c r="O6" s="15" t="n">
        <f aca="false">COUNTIF(Raw_Data!I$2:I$201,N6)</f>
        <v>39</v>
      </c>
    </row>
    <row r="7" customFormat="false" ht="15" hidden="false" customHeight="true" outlineLevel="0" collapsed="false">
      <c r="A7" s="13" t="s">
        <v>82</v>
      </c>
      <c r="B7" s="14" t="n">
        <f aca="false">AVERAGEIF(Raw_Data!I$2:I$201,A7,Raw_Data!L$2:L$201)</f>
        <v>77.3175</v>
      </c>
      <c r="N7" s="13" t="s">
        <v>82</v>
      </c>
      <c r="O7" s="15" t="n">
        <f aca="false">COUNTIF(Raw_Data!I$2:I$201,N7)</f>
        <v>40</v>
      </c>
    </row>
    <row r="8" customFormat="false" ht="15" hidden="false" customHeight="true" outlineLevel="0" collapsed="false">
      <c r="A8" s="13" t="s">
        <v>83</v>
      </c>
      <c r="B8" s="14" t="n">
        <f aca="false">AVERAGEIF(Raw_Data!I$2:I$201,A8,Raw_Data!L$2:L$201)</f>
        <v>75.0770833333333</v>
      </c>
      <c r="N8" s="13" t="s">
        <v>83</v>
      </c>
      <c r="O8" s="15" t="n">
        <f aca="false">COUNTIF(Raw_Data!I$2:I$201,N8)</f>
        <v>48</v>
      </c>
    </row>
    <row r="9" customFormat="false" ht="15" hidden="false" customHeight="true" outlineLevel="0" collapsed="false">
      <c r="A9" s="13" t="s">
        <v>84</v>
      </c>
      <c r="B9" s="14" t="n">
        <f aca="false">AVERAGEIF(Raw_Data!I$2:I$201,A9,Raw_Data!L$2:L$201)</f>
        <v>78.2916666666667</v>
      </c>
      <c r="N9" s="13" t="s">
        <v>84</v>
      </c>
      <c r="O9" s="15" t="n">
        <f aca="false">COUNTIF(Raw_Data!I$2:I$201,N9)</f>
        <v>36</v>
      </c>
    </row>
    <row r="20" customFormat="false" ht="15" hidden="false" customHeight="true" outlineLevel="0" collapsed="false">
      <c r="A20" s="16" t="s">
        <v>85</v>
      </c>
      <c r="B20" s="16"/>
      <c r="C20" s="16"/>
      <c r="N20" s="17" t="s">
        <v>86</v>
      </c>
      <c r="O20" s="17"/>
      <c r="P20" s="17"/>
    </row>
    <row r="21" customFormat="false" ht="15" hidden="false" customHeight="true" outlineLevel="0" collapsed="false">
      <c r="A21" s="12" t="s">
        <v>87</v>
      </c>
      <c r="B21" s="12" t="s">
        <v>88</v>
      </c>
      <c r="C21" s="12" t="s">
        <v>89</v>
      </c>
      <c r="N21" s="12" t="s">
        <v>90</v>
      </c>
      <c r="O21" s="12" t="s">
        <v>78</v>
      </c>
      <c r="P21" s="12" t="s">
        <v>91</v>
      </c>
    </row>
    <row r="22" customFormat="false" ht="15" hidden="false" customHeight="true" outlineLevel="0" collapsed="false">
      <c r="A22" s="15" t="s">
        <v>92</v>
      </c>
      <c r="B22" s="15" t="n">
        <f aca="false">COUNTIF(Raw_Data!B$2:B$201,A22)</f>
        <v>8</v>
      </c>
      <c r="C22" s="14" t="n">
        <f aca="false">AVERAGEIF(Raw_Data!B$2:B$201,A22,Raw_Data!L$2:L$201)</f>
        <v>78.95</v>
      </c>
      <c r="N22" s="15" t="s">
        <v>93</v>
      </c>
      <c r="O22" s="14" t="n">
        <f aca="false">AVERAGEIF(Raw_Data!D$2:D$201,N22,Raw_Data!L$2:L$201)</f>
        <v>75.3869565217391</v>
      </c>
      <c r="P22" s="14" t="n">
        <f aca="false">AVERAGEIF(Raw_Data!D$2:D$201,N22,Raw_Data!M$2:M$201)</f>
        <v>1.8695652173913</v>
      </c>
    </row>
    <row r="23" customFormat="false" ht="15" hidden="false" customHeight="true" outlineLevel="0" collapsed="false">
      <c r="A23" s="15" t="s">
        <v>94</v>
      </c>
      <c r="B23" s="15" t="n">
        <f aca="false">COUNTIF(Raw_Data!B$2:B$201,A23)</f>
        <v>17</v>
      </c>
      <c r="C23" s="14" t="n">
        <f aca="false">AVERAGEIF(Raw_Data!B$2:B$201,A23,Raw_Data!L$2:L$201)</f>
        <v>74.1176470588235</v>
      </c>
      <c r="N23" s="15" t="s">
        <v>95</v>
      </c>
      <c r="O23" s="14" t="n">
        <f aca="false">AVERAGEIF(Raw_Data!D$2:D$201,N23,Raw_Data!L$2:L$201)</f>
        <v>73.57</v>
      </c>
      <c r="P23" s="14" t="n">
        <f aca="false">AVERAGEIF(Raw_Data!D$2:D$201,N23,Raw_Data!M$2:M$201)</f>
        <v>1.87</v>
      </c>
    </row>
    <row r="24" customFormat="false" ht="15" hidden="false" customHeight="true" outlineLevel="0" collapsed="false">
      <c r="A24" s="15" t="s">
        <v>96</v>
      </c>
      <c r="B24" s="15" t="n">
        <f aca="false">COUNTIF(Raw_Data!B$2:B$201,A24)</f>
        <v>15</v>
      </c>
      <c r="C24" s="14" t="n">
        <f aca="false">AVERAGEIF(Raw_Data!B$2:B$201,A24,Raw_Data!L$2:L$201)</f>
        <v>75.26</v>
      </c>
      <c r="N24" s="15" t="s">
        <v>97</v>
      </c>
      <c r="O24" s="14" t="n">
        <f aca="false">AVERAGEIF(Raw_Data!D$2:D$201,N24,Raw_Data!L$2:L$201)</f>
        <v>75.2194444444445</v>
      </c>
      <c r="P24" s="14" t="n">
        <f aca="false">AVERAGEIF(Raw_Data!D$2:D$201,N24,Raw_Data!M$2:M$201)</f>
        <v>2.01666666666667</v>
      </c>
    </row>
    <row r="25" customFormat="false" ht="15" hidden="false" customHeight="true" outlineLevel="0" collapsed="false">
      <c r="A25" s="15" t="s">
        <v>98</v>
      </c>
      <c r="B25" s="15" t="n">
        <f aca="false">COUNTIF(Raw_Data!B$2:B$201,A25)</f>
        <v>13</v>
      </c>
      <c r="C25" s="14" t="n">
        <f aca="false">AVERAGEIF(Raw_Data!B$2:B$201,A25,Raw_Data!L$2:L$201)</f>
        <v>79.7923076923077</v>
      </c>
      <c r="N25" s="15" t="s">
        <v>99</v>
      </c>
      <c r="O25" s="14" t="n">
        <f aca="false">AVERAGEIF(Raw_Data!D$2:D$201,N25,Raw_Data!L$2:L$201)</f>
        <v>76.3702702702703</v>
      </c>
      <c r="P25" s="14" t="n">
        <f aca="false">AVERAGEIF(Raw_Data!D$2:D$201,N25,Raw_Data!M$2:M$201)</f>
        <v>2.04054054054054</v>
      </c>
    </row>
    <row r="26" customFormat="false" ht="15" hidden="false" customHeight="true" outlineLevel="0" collapsed="false">
      <c r="A26" s="15" t="s">
        <v>100</v>
      </c>
      <c r="B26" s="15" t="n">
        <f aca="false">COUNTIF(Raw_Data!B$2:B$201,A26)</f>
        <v>11</v>
      </c>
      <c r="C26" s="14" t="n">
        <f aca="false">AVERAGEIF(Raw_Data!B$2:B$201,A26,Raw_Data!L$2:L$201)</f>
        <v>76.1181818181818</v>
      </c>
      <c r="N26" s="15" t="s">
        <v>101</v>
      </c>
      <c r="O26" s="14" t="n">
        <f aca="false">AVERAGEIF(Raw_Data!D$2:D$201,N26,Raw_Data!L$2:L$201)</f>
        <v>78.6439024390244</v>
      </c>
      <c r="P26" s="14" t="n">
        <f aca="false">AVERAGEIF(Raw_Data!D$2:D$201,N26,Raw_Data!M$2:M$201)</f>
        <v>1.78536585365854</v>
      </c>
    </row>
    <row r="27" customFormat="false" ht="15" hidden="false" customHeight="true" outlineLevel="0" collapsed="false">
      <c r="A27" s="15" t="s">
        <v>102</v>
      </c>
      <c r="B27" s="15" t="n">
        <f aca="false">COUNTIF(Raw_Data!B$2:B$201,A27)</f>
        <v>13</v>
      </c>
      <c r="C27" s="14" t="n">
        <f aca="false">AVERAGEIF(Raw_Data!B$2:B$201,A27,Raw_Data!L$2:L$201)</f>
        <v>70.0538461538462</v>
      </c>
    </row>
    <row r="28" customFormat="false" ht="15" hidden="false" customHeight="true" outlineLevel="0" collapsed="false">
      <c r="A28" s="15" t="s">
        <v>103</v>
      </c>
      <c r="B28" s="15" t="n">
        <f aca="false">COUNTIF(Raw_Data!B$2:B$201,A28)</f>
        <v>13</v>
      </c>
      <c r="C28" s="14" t="n">
        <f aca="false">AVERAGEIF(Raw_Data!B$2:B$201,A28,Raw_Data!L$2:L$201)</f>
        <v>75.5461538461538</v>
      </c>
    </row>
    <row r="29" customFormat="false" ht="15" hidden="false" customHeight="true" outlineLevel="0" collapsed="false">
      <c r="A29" s="15" t="s">
        <v>104</v>
      </c>
      <c r="B29" s="15" t="n">
        <f aca="false">COUNTIF(Raw_Data!B$2:B$201,A29)</f>
        <v>13</v>
      </c>
      <c r="C29" s="14" t="n">
        <f aca="false">AVERAGEIF(Raw_Data!B$2:B$201,A29,Raw_Data!L$2:L$201)</f>
        <v>74.1153846153846</v>
      </c>
    </row>
    <row r="30" customFormat="false" ht="15" hidden="false" customHeight="true" outlineLevel="0" collapsed="false">
      <c r="A30" s="15" t="s">
        <v>105</v>
      </c>
      <c r="B30" s="15" t="n">
        <f aca="false">COUNTIF(Raw_Data!B$2:B$201,A30)</f>
        <v>16</v>
      </c>
      <c r="C30" s="14" t="n">
        <f aca="false">AVERAGEIF(Raw_Data!B$2:B$201,A30,Raw_Data!L$2:L$201)</f>
        <v>80.30625</v>
      </c>
    </row>
    <row r="31" customFormat="false" ht="15" hidden="false" customHeight="true" outlineLevel="0" collapsed="false">
      <c r="A31" s="15" t="s">
        <v>106</v>
      </c>
      <c r="B31" s="15" t="n">
        <f aca="false">COUNTIF(Raw_Data!B$2:B$201,A31)</f>
        <v>21</v>
      </c>
      <c r="C31" s="14" t="n">
        <f aca="false">AVERAGEIF(Raw_Data!B$2:B$201,A31,Raw_Data!L$2:L$201)</f>
        <v>73.4857142857143</v>
      </c>
    </row>
    <row r="32" customFormat="false" ht="15" hidden="false" customHeight="true" outlineLevel="0" collapsed="false">
      <c r="A32" s="15" t="s">
        <v>107</v>
      </c>
      <c r="B32" s="15" t="n">
        <f aca="false">COUNTIF(Raw_Data!B$2:B$201,A32)</f>
        <v>14</v>
      </c>
      <c r="C32" s="14" t="n">
        <f aca="false">AVERAGEIF(Raw_Data!B$2:B$201,A32,Raw_Data!L$2:L$201)</f>
        <v>76.2571428571429</v>
      </c>
    </row>
    <row r="33" customFormat="false" ht="15" hidden="false" customHeight="true" outlineLevel="0" collapsed="false">
      <c r="A33" s="15" t="s">
        <v>108</v>
      </c>
      <c r="B33" s="15" t="n">
        <f aca="false">COUNTIF(Raw_Data!B$2:B$201,A33)</f>
        <v>10</v>
      </c>
      <c r="C33" s="14" t="n">
        <f aca="false">AVERAGEIF(Raw_Data!B$2:B$201,A33,Raw_Data!L$2:L$201)</f>
        <v>72.31</v>
      </c>
    </row>
    <row r="34" customFormat="false" ht="15" hidden="false" customHeight="true" outlineLevel="0" collapsed="false">
      <c r="A34" s="15" t="s">
        <v>109</v>
      </c>
      <c r="B34" s="15" t="n">
        <f aca="false">COUNTIF(Raw_Data!B$2:B$201,A34)</f>
        <v>9</v>
      </c>
      <c r="C34" s="14" t="n">
        <f aca="false">AVERAGEIF(Raw_Data!B$2:B$201,A34,Raw_Data!L$2:L$201)</f>
        <v>77.9888888888889</v>
      </c>
    </row>
    <row r="35" customFormat="false" ht="15" hidden="false" customHeight="true" outlineLevel="0" collapsed="false">
      <c r="A35" s="15" t="s">
        <v>110</v>
      </c>
      <c r="B35" s="15" t="n">
        <f aca="false">COUNTIF(Raw_Data!B$2:B$201,A35)</f>
        <v>14</v>
      </c>
      <c r="C35" s="14" t="n">
        <f aca="false">AVERAGEIF(Raw_Data!B$2:B$201,A35,Raw_Data!L$2:L$201)</f>
        <v>78.1357142857143</v>
      </c>
    </row>
    <row r="36" customFormat="false" ht="15" hidden="false" customHeight="true" outlineLevel="0" collapsed="false">
      <c r="A36" s="15" t="s">
        <v>111</v>
      </c>
      <c r="B36" s="15" t="n">
        <f aca="false">COUNTIF(Raw_Data!B$2:B$201,A36)</f>
        <v>13</v>
      </c>
      <c r="C36" s="14" t="n">
        <f aca="false">AVERAGEIF(Raw_Data!B$2:B$201,A36,Raw_Data!L$2:L$201)</f>
        <v>77.1230769230769</v>
      </c>
    </row>
  </sheetData>
  <mergeCells count="5">
    <mergeCell ref="A1:N1"/>
    <mergeCell ref="A3:C3"/>
    <mergeCell ref="N3:P3"/>
    <mergeCell ref="A20:C20"/>
    <mergeCell ref="N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7" min="2" style="1" width="11"/>
  </cols>
  <sheetData>
    <row r="1" customFormat="false" ht="31.5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15" hidden="false" customHeight="true" outlineLevel="0" collapsed="false">
      <c r="A3" s="18" t="s">
        <v>113</v>
      </c>
      <c r="B3" s="18"/>
      <c r="C3" s="18"/>
      <c r="D3" s="18"/>
      <c r="E3" s="18"/>
      <c r="F3" s="18"/>
      <c r="G3" s="18"/>
    </row>
    <row r="4" customFormat="false" ht="15" hidden="false" customHeight="true" outlineLevel="0" collapsed="false">
      <c r="A4" s="12" t="s">
        <v>77</v>
      </c>
      <c r="B4" s="12" t="s">
        <v>93</v>
      </c>
      <c r="C4" s="12" t="s">
        <v>95</v>
      </c>
      <c r="D4" s="12" t="s">
        <v>97</v>
      </c>
      <c r="E4" s="12" t="s">
        <v>99</v>
      </c>
      <c r="F4" s="12" t="s">
        <v>101</v>
      </c>
    </row>
    <row r="5" customFormat="false" ht="15" hidden="false" customHeight="true" outlineLevel="0" collapsed="false">
      <c r="A5" s="19" t="s">
        <v>80</v>
      </c>
      <c r="B5" s="20" t="n">
        <f aca="false">AVERAGEIFS(Raw_Data!L$2:L$201,Raw_Data!I$2:I$201,A5,Raw_Data!D$2:D$201,B$4)</f>
        <v>72.6</v>
      </c>
      <c r="C5" s="20" t="n">
        <f aca="false">AVERAGEIFS(Raw_Data!L$2:L$201,Raw_Data!I$2:I$201,A5,Raw_Data!D$2:D$201,C$4)</f>
        <v>73.7333333333333</v>
      </c>
      <c r="D5" s="20" t="n">
        <f aca="false">AVERAGEIFS(Raw_Data!L$2:L$201,Raw_Data!I$2:I$201,A5,Raw_Data!D$2:D$201,D$4)</f>
        <v>76.4833333333333</v>
      </c>
      <c r="E5" s="20" t="n">
        <f aca="false">AVERAGEIFS(Raw_Data!L$2:L$201,Raw_Data!I$2:I$201,A5,Raw_Data!D$2:D$201,E$4)</f>
        <v>76.2</v>
      </c>
      <c r="F5" s="20" t="n">
        <f aca="false">AVERAGEIFS(Raw_Data!L$2:L$201,Raw_Data!I$2:I$201,A5,Raw_Data!D$2:D$201,F$4)</f>
        <v>72.5714285714286</v>
      </c>
    </row>
    <row r="6" customFormat="false" ht="15" hidden="false" customHeight="true" outlineLevel="0" collapsed="false">
      <c r="A6" s="21" t="s">
        <v>81</v>
      </c>
      <c r="B6" s="22" t="n">
        <f aca="false">AVERAGEIFS(Raw_Data!L$2:L$201,Raw_Data!I$2:I$201,A6,Raw_Data!D$2:D$201,B$4)</f>
        <v>76.3833333333333</v>
      </c>
      <c r="C6" s="22" t="n">
        <f aca="false">AVERAGEIFS(Raw_Data!L$2:L$201,Raw_Data!I$2:I$201,A6,Raw_Data!D$2:D$201,C$4)</f>
        <v>71.8666666666667</v>
      </c>
      <c r="D6" s="22" t="n">
        <f aca="false">AVERAGEIFS(Raw_Data!L$2:L$201,Raw_Data!I$2:I$201,A6,Raw_Data!D$2:D$201,D$4)</f>
        <v>73.6</v>
      </c>
      <c r="E6" s="22" t="n">
        <f aca="false">AVERAGEIFS(Raw_Data!L$2:L$201,Raw_Data!I$2:I$201,A6,Raw_Data!D$2:D$201,E$4)</f>
        <v>70.1083333333333</v>
      </c>
      <c r="F6" s="22" t="n">
        <f aca="false">AVERAGEIFS(Raw_Data!L$2:L$201,Raw_Data!I$2:I$201,A6,Raw_Data!D$2:D$201,F$4)</f>
        <v>81.8222222222222</v>
      </c>
    </row>
    <row r="7" customFormat="false" ht="15" hidden="false" customHeight="true" outlineLevel="0" collapsed="false">
      <c r="A7" s="19" t="s">
        <v>82</v>
      </c>
      <c r="B7" s="20" t="n">
        <f aca="false">AVERAGEIFS(Raw_Data!L$2:L$201,Raw_Data!I$2:I$201,A7,Raw_Data!D$2:D$201,B$4)</f>
        <v>79.6166666666667</v>
      </c>
      <c r="C7" s="20" t="n">
        <f aca="false">AVERAGEIFS(Raw_Data!L$2:L$201,Raw_Data!I$2:I$201,A7,Raw_Data!D$2:D$201,C$4)</f>
        <v>67.32</v>
      </c>
      <c r="D7" s="20" t="n">
        <f aca="false">AVERAGEIFS(Raw_Data!L$2:L$201,Raw_Data!I$2:I$201,A7,Raw_Data!D$2:D$201,D$4)</f>
        <v>76.125</v>
      </c>
      <c r="E7" s="20" t="n">
        <f aca="false">AVERAGEIFS(Raw_Data!L$2:L$201,Raw_Data!I$2:I$201,A7,Raw_Data!D$2:D$201,E$4)</f>
        <v>76.575</v>
      </c>
      <c r="F7" s="20" t="n">
        <f aca="false">AVERAGEIFS(Raw_Data!L$2:L$201,Raw_Data!I$2:I$201,A7,Raw_Data!D$2:D$201,F$4)</f>
        <v>80.4909090909091</v>
      </c>
    </row>
    <row r="8" customFormat="false" ht="15" hidden="false" customHeight="true" outlineLevel="0" collapsed="false">
      <c r="A8" s="21" t="s">
        <v>83</v>
      </c>
      <c r="B8" s="22" t="n">
        <f aca="false">AVERAGEIFS(Raw_Data!L$2:L$201,Raw_Data!I$2:I$201,A8,Raw_Data!D$2:D$201,B$4)</f>
        <v>67.275</v>
      </c>
      <c r="C8" s="22" t="n">
        <f aca="false">AVERAGEIFS(Raw_Data!L$2:L$201,Raw_Data!I$2:I$201,A8,Raw_Data!D$2:D$201,C$4)</f>
        <v>73.3166666666667</v>
      </c>
      <c r="D8" s="22" t="n">
        <f aca="false">AVERAGEIFS(Raw_Data!L$2:L$201,Raw_Data!I$2:I$201,A8,Raw_Data!D$2:D$201,D$4)</f>
        <v>74.2727272727273</v>
      </c>
      <c r="E8" s="22" t="n">
        <f aca="false">AVERAGEIFS(Raw_Data!L$2:L$201,Raw_Data!I$2:I$201,A8,Raw_Data!D$2:D$201,E$4)</f>
        <v>85.3166666666667</v>
      </c>
      <c r="F8" s="22" t="n">
        <f aca="false">AVERAGEIFS(Raw_Data!L$2:L$201,Raw_Data!I$2:I$201,A8,Raw_Data!D$2:D$201,F$4)</f>
        <v>77.8909090909091</v>
      </c>
    </row>
    <row r="9" customFormat="false" ht="15" hidden="false" customHeight="true" outlineLevel="0" collapsed="false">
      <c r="A9" s="19" t="s">
        <v>84</v>
      </c>
      <c r="B9" s="20" t="n">
        <f aca="false">AVERAGEIFS(Raw_Data!L$2:L$201,Raw_Data!I$2:I$201,A9,Raw_Data!D$2:D$201,B$4)</f>
        <v>78.99</v>
      </c>
      <c r="C9" s="20" t="n">
        <f aca="false">AVERAGEIFS(Raw_Data!L$2:L$201,Raw_Data!I$2:I$201,A9,Raw_Data!D$2:D$201,C$4)</f>
        <v>77.5272727272727</v>
      </c>
      <c r="D9" s="20" t="n">
        <f aca="false">AVERAGEIFS(Raw_Data!L$2:L$201,Raw_Data!I$2:I$201,A9,Raw_Data!D$2:D$201,D$4)</f>
        <v>76.28</v>
      </c>
      <c r="E9" s="20" t="n">
        <f aca="false">AVERAGEIFS(Raw_Data!L$2:L$201,Raw_Data!I$2:I$201,A9,Raw_Data!D$2:D$201,E$4)</f>
        <v>79.5142857142857</v>
      </c>
      <c r="F9" s="20" t="n">
        <f aca="false">AVERAGEIFS(Raw_Data!L$2:L$201,Raw_Data!I$2:I$201,A9,Raw_Data!D$2:D$201,F$4)</f>
        <v>79.2666666666667</v>
      </c>
    </row>
    <row r="11" customFormat="false" ht="15" hidden="false" customHeight="true" outlineLevel="0" collapsed="false">
      <c r="A11" s="23" t="s">
        <v>114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customFormat="false" ht="15" hidden="false" customHeight="true" outlineLevel="0" collapsed="false">
      <c r="A12" s="12" t="s">
        <v>77</v>
      </c>
      <c r="B12" s="12" t="s">
        <v>92</v>
      </c>
      <c r="C12" s="12" t="s">
        <v>94</v>
      </c>
      <c r="D12" s="12" t="s">
        <v>96</v>
      </c>
      <c r="E12" s="12" t="s">
        <v>98</v>
      </c>
      <c r="F12" s="12" t="s">
        <v>100</v>
      </c>
      <c r="G12" s="12" t="s">
        <v>102</v>
      </c>
      <c r="H12" s="12" t="s">
        <v>103</v>
      </c>
      <c r="I12" s="12" t="s">
        <v>104</v>
      </c>
      <c r="J12" s="12" t="s">
        <v>105</v>
      </c>
      <c r="K12" s="12" t="s">
        <v>106</v>
      </c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</row>
    <row r="13" customFormat="false" ht="15" hidden="false" customHeight="true" outlineLevel="0" collapsed="false">
      <c r="A13" s="19" t="s">
        <v>80</v>
      </c>
      <c r="B13" s="24" t="n">
        <f aca="false">COUNTIFS(Raw_Data!I$2:I$201,A13,Raw_Data!B$2:B$201,B$12)</f>
        <v>4</v>
      </c>
      <c r="C13" s="24" t="n">
        <f aca="false">COUNTIFS(Raw_Data!I$2:I$201,A13,Raw_Data!B$2:B$201,C$12)</f>
        <v>3</v>
      </c>
      <c r="D13" s="24" t="n">
        <f aca="false">COUNTIFS(Raw_Data!I$2:I$201,A13,Raw_Data!B$2:B$201,D$12)</f>
        <v>3</v>
      </c>
      <c r="E13" s="24" t="n">
        <f aca="false">COUNTIFS(Raw_Data!I$2:I$201,A13,Raw_Data!B$2:B$201,E$12)</f>
        <v>4</v>
      </c>
      <c r="F13" s="24" t="n">
        <f aca="false">COUNTIFS(Raw_Data!I$2:I$201,A13,Raw_Data!B$2:B$201,F$12)</f>
        <v>2</v>
      </c>
      <c r="G13" s="24" t="n">
        <f aca="false">COUNTIFS(Raw_Data!I$2:I$201,A13,Raw_Data!B$2:B$201,G$12)</f>
        <v>0</v>
      </c>
      <c r="H13" s="24" t="n">
        <f aca="false">COUNTIFS(Raw_Data!I$2:I$201,A13,Raw_Data!B$2:B$201,H$12)</f>
        <v>1</v>
      </c>
      <c r="I13" s="24" t="n">
        <f aca="false">COUNTIFS(Raw_Data!I$2:I$201,A13,Raw_Data!B$2:B$201,I$12)</f>
        <v>2</v>
      </c>
      <c r="J13" s="24" t="n">
        <f aca="false">COUNTIFS(Raw_Data!I$2:I$201,A13,Raw_Data!B$2:B$201,J$12)</f>
        <v>1</v>
      </c>
      <c r="K13" s="24" t="n">
        <f aca="false">COUNTIFS(Raw_Data!I$2:I$201,A13,Raw_Data!B$2:B$201,K$12)</f>
        <v>3</v>
      </c>
      <c r="L13" s="24" t="n">
        <f aca="false">COUNTIFS(Raw_Data!I$2:I$201,A13,Raw_Data!B$2:B$201,L$12)</f>
        <v>2</v>
      </c>
      <c r="M13" s="24" t="n">
        <f aca="false">COUNTIFS(Raw_Data!I$2:I$201,A13,Raw_Data!B$2:B$201,M$12)</f>
        <v>2</v>
      </c>
      <c r="N13" s="24" t="n">
        <f aca="false">COUNTIFS(Raw_Data!I$2:I$201,A13,Raw_Data!B$2:B$201,N$12)</f>
        <v>1</v>
      </c>
      <c r="O13" s="24" t="n">
        <f aca="false">COUNTIFS(Raw_Data!I$2:I$201,A13,Raw_Data!B$2:B$201,O$12)</f>
        <v>5</v>
      </c>
      <c r="P13" s="24" t="n">
        <f aca="false">COUNTIFS(Raw_Data!I$2:I$201,A13,Raw_Data!B$2:B$201,P$12)</f>
        <v>4</v>
      </c>
    </row>
    <row r="14" customFormat="false" ht="15" hidden="false" customHeight="true" outlineLevel="0" collapsed="false">
      <c r="A14" s="21" t="s">
        <v>81</v>
      </c>
      <c r="B14" s="25" t="n">
        <f aca="false">COUNTIFS(Raw_Data!I$2:I$201,A14,Raw_Data!B$2:B$201,B$12)</f>
        <v>1</v>
      </c>
      <c r="C14" s="25" t="n">
        <f aca="false">COUNTIFS(Raw_Data!I$2:I$201,A14,Raw_Data!B$2:B$201,C$12)</f>
        <v>3</v>
      </c>
      <c r="D14" s="25" t="n">
        <f aca="false">COUNTIFS(Raw_Data!I$2:I$201,A14,Raw_Data!B$2:B$201,D$12)</f>
        <v>4</v>
      </c>
      <c r="E14" s="25" t="n">
        <f aca="false">COUNTIFS(Raw_Data!I$2:I$201,A14,Raw_Data!B$2:B$201,E$12)</f>
        <v>0</v>
      </c>
      <c r="F14" s="25" t="n">
        <f aca="false">COUNTIFS(Raw_Data!I$2:I$201,A14,Raw_Data!B$2:B$201,F$12)</f>
        <v>4</v>
      </c>
      <c r="G14" s="25" t="n">
        <f aca="false">COUNTIFS(Raw_Data!I$2:I$201,A14,Raw_Data!B$2:B$201,G$12)</f>
        <v>1</v>
      </c>
      <c r="H14" s="25" t="n">
        <f aca="false">COUNTIFS(Raw_Data!I$2:I$201,A14,Raw_Data!B$2:B$201,H$12)</f>
        <v>3</v>
      </c>
      <c r="I14" s="25" t="n">
        <f aca="false">COUNTIFS(Raw_Data!I$2:I$201,A14,Raw_Data!B$2:B$201,I$12)</f>
        <v>2</v>
      </c>
      <c r="J14" s="25" t="n">
        <f aca="false">COUNTIFS(Raw_Data!I$2:I$201,A14,Raw_Data!B$2:B$201,J$12)</f>
        <v>2</v>
      </c>
      <c r="K14" s="25" t="n">
        <f aca="false">COUNTIFS(Raw_Data!I$2:I$201,A14,Raw_Data!B$2:B$201,K$12)</f>
        <v>5</v>
      </c>
      <c r="L14" s="25" t="n">
        <f aca="false">COUNTIFS(Raw_Data!I$2:I$201,A14,Raw_Data!B$2:B$201,L$12)</f>
        <v>4</v>
      </c>
      <c r="M14" s="25" t="n">
        <f aca="false">COUNTIFS(Raw_Data!I$2:I$201,A14,Raw_Data!B$2:B$201,M$12)</f>
        <v>1</v>
      </c>
      <c r="N14" s="25" t="n">
        <f aca="false">COUNTIFS(Raw_Data!I$2:I$201,A14,Raw_Data!B$2:B$201,N$12)</f>
        <v>2</v>
      </c>
      <c r="O14" s="25" t="n">
        <f aca="false">COUNTIFS(Raw_Data!I$2:I$201,A14,Raw_Data!B$2:B$201,O$12)</f>
        <v>6</v>
      </c>
      <c r="P14" s="25" t="n">
        <f aca="false">COUNTIFS(Raw_Data!I$2:I$201,A14,Raw_Data!B$2:B$201,P$12)</f>
        <v>1</v>
      </c>
    </row>
    <row r="15" customFormat="false" ht="15" hidden="false" customHeight="true" outlineLevel="0" collapsed="false">
      <c r="A15" s="19" t="s">
        <v>82</v>
      </c>
      <c r="B15" s="24" t="n">
        <f aca="false">COUNTIFS(Raw_Data!I$2:I$201,A15,Raw_Data!B$2:B$201,B$12)</f>
        <v>1</v>
      </c>
      <c r="C15" s="24" t="n">
        <f aca="false">COUNTIFS(Raw_Data!I$2:I$201,A15,Raw_Data!B$2:B$201,C$12)</f>
        <v>3</v>
      </c>
      <c r="D15" s="24" t="n">
        <f aca="false">COUNTIFS(Raw_Data!I$2:I$201,A15,Raw_Data!B$2:B$201,D$12)</f>
        <v>6</v>
      </c>
      <c r="E15" s="24" t="n">
        <f aca="false">COUNTIFS(Raw_Data!I$2:I$201,A15,Raw_Data!B$2:B$201,E$12)</f>
        <v>2</v>
      </c>
      <c r="F15" s="24" t="n">
        <f aca="false">COUNTIFS(Raw_Data!I$2:I$201,A15,Raw_Data!B$2:B$201,F$12)</f>
        <v>2</v>
      </c>
      <c r="G15" s="24" t="n">
        <f aca="false">COUNTIFS(Raw_Data!I$2:I$201,A15,Raw_Data!B$2:B$201,G$12)</f>
        <v>3</v>
      </c>
      <c r="H15" s="24" t="n">
        <f aca="false">COUNTIFS(Raw_Data!I$2:I$201,A15,Raw_Data!B$2:B$201,H$12)</f>
        <v>1</v>
      </c>
      <c r="I15" s="24" t="n">
        <f aca="false">COUNTIFS(Raw_Data!I$2:I$201,A15,Raw_Data!B$2:B$201,I$12)</f>
        <v>3</v>
      </c>
      <c r="J15" s="24" t="n">
        <f aca="false">COUNTIFS(Raw_Data!I$2:I$201,A15,Raw_Data!B$2:B$201,J$12)</f>
        <v>4</v>
      </c>
      <c r="K15" s="24" t="n">
        <f aca="false">COUNTIFS(Raw_Data!I$2:I$201,A15,Raw_Data!B$2:B$201,K$12)</f>
        <v>5</v>
      </c>
      <c r="L15" s="24" t="n">
        <f aca="false">COUNTIFS(Raw_Data!I$2:I$201,A15,Raw_Data!B$2:B$201,L$12)</f>
        <v>3</v>
      </c>
      <c r="M15" s="24" t="n">
        <f aca="false">COUNTIFS(Raw_Data!I$2:I$201,A15,Raw_Data!B$2:B$201,M$12)</f>
        <v>2</v>
      </c>
      <c r="N15" s="24" t="n">
        <f aca="false">COUNTIFS(Raw_Data!I$2:I$201,A15,Raw_Data!B$2:B$201,N$12)</f>
        <v>3</v>
      </c>
      <c r="O15" s="24" t="n">
        <f aca="false">COUNTIFS(Raw_Data!I$2:I$201,A15,Raw_Data!B$2:B$201,O$12)</f>
        <v>0</v>
      </c>
      <c r="P15" s="24" t="n">
        <f aca="false">COUNTIFS(Raw_Data!I$2:I$201,A15,Raw_Data!B$2:B$201,P$12)</f>
        <v>2</v>
      </c>
    </row>
    <row r="16" customFormat="false" ht="15" hidden="false" customHeight="true" outlineLevel="0" collapsed="false">
      <c r="A16" s="21" t="s">
        <v>83</v>
      </c>
      <c r="B16" s="25" t="n">
        <f aca="false">COUNTIFS(Raw_Data!I$2:I$201,A16,Raw_Data!B$2:B$201,B$12)</f>
        <v>1</v>
      </c>
      <c r="C16" s="25" t="n">
        <f aca="false">COUNTIFS(Raw_Data!I$2:I$201,A16,Raw_Data!B$2:B$201,C$12)</f>
        <v>3</v>
      </c>
      <c r="D16" s="25" t="n">
        <f aca="false">COUNTIFS(Raw_Data!I$2:I$201,A16,Raw_Data!B$2:B$201,D$12)</f>
        <v>2</v>
      </c>
      <c r="E16" s="25" t="n">
        <f aca="false">COUNTIFS(Raw_Data!I$2:I$201,A16,Raw_Data!B$2:B$201,E$12)</f>
        <v>2</v>
      </c>
      <c r="F16" s="25" t="n">
        <f aca="false">COUNTIFS(Raw_Data!I$2:I$201,A16,Raw_Data!B$2:B$201,F$12)</f>
        <v>2</v>
      </c>
      <c r="G16" s="25" t="n">
        <f aca="false">COUNTIFS(Raw_Data!I$2:I$201,A16,Raw_Data!B$2:B$201,G$12)</f>
        <v>6</v>
      </c>
      <c r="H16" s="25" t="n">
        <f aca="false">COUNTIFS(Raw_Data!I$2:I$201,A16,Raw_Data!B$2:B$201,H$12)</f>
        <v>7</v>
      </c>
      <c r="I16" s="25" t="n">
        <f aca="false">COUNTIFS(Raw_Data!I$2:I$201,A16,Raw_Data!B$2:B$201,I$12)</f>
        <v>2</v>
      </c>
      <c r="J16" s="25" t="n">
        <f aca="false">COUNTIFS(Raw_Data!I$2:I$201,A16,Raw_Data!B$2:B$201,J$12)</f>
        <v>6</v>
      </c>
      <c r="K16" s="25" t="n">
        <f aca="false">COUNTIFS(Raw_Data!I$2:I$201,A16,Raw_Data!B$2:B$201,K$12)</f>
        <v>5</v>
      </c>
      <c r="L16" s="25" t="n">
        <f aca="false">COUNTIFS(Raw_Data!I$2:I$201,A16,Raw_Data!B$2:B$201,L$12)</f>
        <v>2</v>
      </c>
      <c r="M16" s="25" t="n">
        <f aca="false">COUNTIFS(Raw_Data!I$2:I$201,A16,Raw_Data!B$2:B$201,M$12)</f>
        <v>4</v>
      </c>
      <c r="N16" s="25" t="n">
        <f aca="false">COUNTIFS(Raw_Data!I$2:I$201,A16,Raw_Data!B$2:B$201,N$12)</f>
        <v>3</v>
      </c>
      <c r="O16" s="25" t="n">
        <f aca="false">COUNTIFS(Raw_Data!I$2:I$201,A16,Raw_Data!B$2:B$201,O$12)</f>
        <v>0</v>
      </c>
      <c r="P16" s="25" t="n">
        <f aca="false">COUNTIFS(Raw_Data!I$2:I$201,A16,Raw_Data!B$2:B$201,P$12)</f>
        <v>3</v>
      </c>
    </row>
    <row r="17" customFormat="false" ht="15" hidden="false" customHeight="true" outlineLevel="0" collapsed="false">
      <c r="A17" s="19" t="s">
        <v>84</v>
      </c>
      <c r="B17" s="24" t="n">
        <f aca="false">COUNTIFS(Raw_Data!I$2:I$201,A17,Raw_Data!B$2:B$201,B$12)</f>
        <v>1</v>
      </c>
      <c r="C17" s="24" t="n">
        <f aca="false">COUNTIFS(Raw_Data!I$2:I$201,A17,Raw_Data!B$2:B$201,C$12)</f>
        <v>5</v>
      </c>
      <c r="D17" s="24" t="n">
        <f aca="false">COUNTIFS(Raw_Data!I$2:I$201,A17,Raw_Data!B$2:B$201,D$12)</f>
        <v>0</v>
      </c>
      <c r="E17" s="24" t="n">
        <f aca="false">COUNTIFS(Raw_Data!I$2:I$201,A17,Raw_Data!B$2:B$201,E$12)</f>
        <v>5</v>
      </c>
      <c r="F17" s="24" t="n">
        <f aca="false">COUNTIFS(Raw_Data!I$2:I$201,A17,Raw_Data!B$2:B$201,F$12)</f>
        <v>1</v>
      </c>
      <c r="G17" s="24" t="n">
        <f aca="false">COUNTIFS(Raw_Data!I$2:I$201,A17,Raw_Data!B$2:B$201,G$12)</f>
        <v>3</v>
      </c>
      <c r="H17" s="24" t="n">
        <f aca="false">COUNTIFS(Raw_Data!I$2:I$201,A17,Raw_Data!B$2:B$201,H$12)</f>
        <v>1</v>
      </c>
      <c r="I17" s="24" t="n">
        <f aca="false">COUNTIFS(Raw_Data!I$2:I$201,A17,Raw_Data!B$2:B$201,I$12)</f>
        <v>4</v>
      </c>
      <c r="J17" s="24" t="n">
        <f aca="false">COUNTIFS(Raw_Data!I$2:I$201,A17,Raw_Data!B$2:B$201,J$12)</f>
        <v>3</v>
      </c>
      <c r="K17" s="24" t="n">
        <f aca="false">COUNTIFS(Raw_Data!I$2:I$201,A17,Raw_Data!B$2:B$201,K$12)</f>
        <v>3</v>
      </c>
      <c r="L17" s="24" t="n">
        <f aca="false">COUNTIFS(Raw_Data!I$2:I$201,A17,Raw_Data!B$2:B$201,L$12)</f>
        <v>3</v>
      </c>
      <c r="M17" s="24" t="n">
        <f aca="false">COUNTIFS(Raw_Data!I$2:I$201,A17,Raw_Data!B$2:B$201,M$12)</f>
        <v>1</v>
      </c>
      <c r="N17" s="24" t="n">
        <f aca="false">COUNTIFS(Raw_Data!I$2:I$201,A17,Raw_Data!B$2:B$201,N$12)</f>
        <v>0</v>
      </c>
      <c r="O17" s="24" t="n">
        <f aca="false">COUNTIFS(Raw_Data!I$2:I$201,A17,Raw_Data!B$2:B$201,O$12)</f>
        <v>3</v>
      </c>
      <c r="P17" s="24" t="n">
        <f aca="false">COUNTIFS(Raw_Data!I$2:I$201,A17,Raw_Data!B$2:B$201,P$12)</f>
        <v>3</v>
      </c>
    </row>
    <row r="20" customFormat="false" ht="15" hidden="false" customHeight="true" outlineLevel="0" collapsed="false">
      <c r="A20" s="26" t="s">
        <v>115</v>
      </c>
      <c r="B20" s="26"/>
      <c r="C20" s="26"/>
      <c r="D20" s="26"/>
      <c r="E20" s="26"/>
    </row>
    <row r="21" customFormat="false" ht="15" hidden="false" customHeight="true" outlineLevel="0" collapsed="false">
      <c r="A21" s="12" t="s">
        <v>77</v>
      </c>
      <c r="B21" s="12" t="s">
        <v>116</v>
      </c>
      <c r="C21" s="12" t="s">
        <v>117</v>
      </c>
      <c r="D21" s="12" t="s">
        <v>118</v>
      </c>
      <c r="E21" s="12" t="s">
        <v>119</v>
      </c>
    </row>
    <row r="22" customFormat="false" ht="15" hidden="false" customHeight="true" outlineLevel="0" collapsed="false">
      <c r="A22" s="19" t="s">
        <v>80</v>
      </c>
      <c r="B22" s="27" t="n">
        <f aca="false">COUNTIFS(Raw_Data!I$2:I$201,A22,Raw_Data!O$2:O$201,"Free")</f>
        <v>15</v>
      </c>
      <c r="C22" s="27" t="n">
        <f aca="false">COUNTIFS(Raw_Data!I$2:I$201,A22,Raw_Data!O$2:O$201,"Pro")</f>
        <v>11</v>
      </c>
      <c r="D22" s="27" t="n">
        <f aca="false">COUNTIFS(Raw_Data!I$2:I$201,A22,Raw_Data!O$2:O$201,"Enterprise")</f>
        <v>11</v>
      </c>
      <c r="E22" s="28" t="n">
        <f aca="false">SUM(B22:D22)</f>
        <v>37</v>
      </c>
    </row>
    <row r="23" customFormat="false" ht="15" hidden="false" customHeight="true" outlineLevel="0" collapsed="false">
      <c r="A23" s="21" t="s">
        <v>81</v>
      </c>
      <c r="B23" s="29" t="n">
        <f aca="false">COUNTIFS(Raw_Data!I$2:I$201,A23,Raw_Data!O$2:O$201,"Free")</f>
        <v>8</v>
      </c>
      <c r="C23" s="29" t="n">
        <f aca="false">COUNTIFS(Raw_Data!I$2:I$201,A23,Raw_Data!O$2:O$201,"Pro")</f>
        <v>15</v>
      </c>
      <c r="D23" s="29" t="n">
        <f aca="false">COUNTIFS(Raw_Data!I$2:I$201,A23,Raw_Data!O$2:O$201,"Enterprise")</f>
        <v>16</v>
      </c>
      <c r="E23" s="30" t="n">
        <f aca="false">SUM(B23:D23)</f>
        <v>39</v>
      </c>
    </row>
    <row r="24" customFormat="false" ht="15" hidden="false" customHeight="true" outlineLevel="0" collapsed="false">
      <c r="A24" s="19" t="s">
        <v>82</v>
      </c>
      <c r="B24" s="27" t="n">
        <f aca="false">COUNTIFS(Raw_Data!I$2:I$201,A24,Raw_Data!O$2:O$201,"Free")</f>
        <v>15</v>
      </c>
      <c r="C24" s="27" t="n">
        <f aca="false">COUNTIFS(Raw_Data!I$2:I$201,A24,Raw_Data!O$2:O$201,"Pro")</f>
        <v>12</v>
      </c>
      <c r="D24" s="27" t="n">
        <f aca="false">COUNTIFS(Raw_Data!I$2:I$201,A24,Raw_Data!O$2:O$201,"Enterprise")</f>
        <v>13</v>
      </c>
      <c r="E24" s="28" t="n">
        <f aca="false">SUM(B24:D24)</f>
        <v>40</v>
      </c>
    </row>
    <row r="25" customFormat="false" ht="15" hidden="false" customHeight="true" outlineLevel="0" collapsed="false">
      <c r="A25" s="21" t="s">
        <v>83</v>
      </c>
      <c r="B25" s="29" t="n">
        <f aca="false">COUNTIFS(Raw_Data!I$2:I$201,A25,Raw_Data!O$2:O$201,"Free")</f>
        <v>16</v>
      </c>
      <c r="C25" s="29" t="n">
        <f aca="false">COUNTIFS(Raw_Data!I$2:I$201,A25,Raw_Data!O$2:O$201,"Pro")</f>
        <v>19</v>
      </c>
      <c r="D25" s="29" t="n">
        <f aca="false">COUNTIFS(Raw_Data!I$2:I$201,A25,Raw_Data!O$2:O$201,"Enterprise")</f>
        <v>13</v>
      </c>
      <c r="E25" s="30" t="n">
        <f aca="false">SUM(B25:D25)</f>
        <v>48</v>
      </c>
    </row>
    <row r="26" customFormat="false" ht="15" hidden="false" customHeight="true" outlineLevel="0" collapsed="false">
      <c r="A26" s="19" t="s">
        <v>84</v>
      </c>
      <c r="B26" s="27" t="n">
        <f aca="false">COUNTIFS(Raw_Data!I$2:I$201,A26,Raw_Data!O$2:O$201,"Free")</f>
        <v>11</v>
      </c>
      <c r="C26" s="27" t="n">
        <f aca="false">COUNTIFS(Raw_Data!I$2:I$201,A26,Raw_Data!O$2:O$201,"Pro")</f>
        <v>11</v>
      </c>
      <c r="D26" s="27" t="n">
        <f aca="false">COUNTIFS(Raw_Data!I$2:I$201,A26,Raw_Data!O$2:O$201,"Enterprise")</f>
        <v>14</v>
      </c>
      <c r="E26" s="28" t="n">
        <f aca="false">SUM(B26:D26)</f>
        <v>36</v>
      </c>
    </row>
  </sheetData>
  <mergeCells count="4">
    <mergeCell ref="A1:M1"/>
    <mergeCell ref="A3:G3"/>
    <mergeCell ref="A11:P11"/>
    <mergeCell ref="A20:E20"/>
  </mergeCells>
  <conditionalFormatting sqref="B5:G9">
    <cfRule type="colorScale" priority="2">
      <colorScale>
        <cfvo type="min" val="0"/>
        <cfvo type="percentile" val="50"/>
        <cfvo type="max" val="0"/>
        <color rgb="FFFFCCCC"/>
        <color rgb="FFFFFF00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4" min="3" style="1" width="20"/>
    <col collapsed="false" customWidth="true" hidden="false" outlineLevel="0" max="9" min="5" style="1" width="18"/>
    <col collapsed="false" customWidth="true" hidden="false" outlineLevel="0" max="14" min="14" style="1" width="16"/>
  </cols>
  <sheetData>
    <row r="1" customFormat="false" ht="31.5" hidden="false" customHeight="true" outlineLevel="0" collapsed="false">
      <c r="A1" s="2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25.5" hidden="false" customHeight="true" outlineLevel="0" collapsed="false">
      <c r="A3" s="18" t="s">
        <v>121</v>
      </c>
      <c r="B3" s="18"/>
      <c r="C3" s="18"/>
      <c r="D3" s="18"/>
      <c r="E3" s="18"/>
      <c r="F3" s="18"/>
      <c r="G3" s="18"/>
      <c r="H3" s="18"/>
      <c r="I3" s="18"/>
    </row>
    <row r="4" customFormat="false" ht="15" hidden="false" customHeight="true" outlineLevel="0" collapsed="false">
      <c r="A4" s="12" t="s">
        <v>77</v>
      </c>
      <c r="B4" s="12" t="s">
        <v>122</v>
      </c>
      <c r="C4" s="12" t="s">
        <v>123</v>
      </c>
      <c r="D4" s="12" t="s">
        <v>124</v>
      </c>
      <c r="E4" s="12" t="s">
        <v>125</v>
      </c>
      <c r="F4" s="12" t="s">
        <v>126</v>
      </c>
      <c r="G4" s="12" t="s">
        <v>127</v>
      </c>
      <c r="H4" s="12" t="s">
        <v>128</v>
      </c>
      <c r="I4" s="12" t="s">
        <v>129</v>
      </c>
    </row>
    <row r="5" customFormat="false" ht="15" hidden="false" customHeight="true" outlineLevel="0" collapsed="false">
      <c r="A5" s="19" t="s">
        <v>80</v>
      </c>
      <c r="B5" s="27" t="n">
        <f aca="false">COUNTIF(Raw_Data!I$2:I$201,A5)</f>
        <v>37</v>
      </c>
      <c r="C5" s="31" t="n">
        <f aca="false">AVERAGEIF(Raw_Data!I$2:I$201,A5,Raw_Data!J$2:J$201)</f>
        <v>3.18918918918919</v>
      </c>
      <c r="D5" s="31" t="n">
        <f aca="false">AVERAGEIF(Raw_Data!I$2:I$201,A5,Raw_Data!L$2:L$201)</f>
        <v>74.1864864864865</v>
      </c>
      <c r="E5" s="31" t="n">
        <f aca="false">AVERAGEIF(Raw_Data!I$2:I$201,A5,Raw_Data!M$2:M$201)</f>
        <v>1.92162162162162</v>
      </c>
      <c r="F5" s="31" t="n">
        <f aca="false">AVERAGEIF(Raw_Data!I$2:I$201,A5,Raw_Data!N$2:N$201)</f>
        <v>4.01351351351351</v>
      </c>
      <c r="G5" s="31" t="n">
        <f aca="false">AVERAGEIF(Raw_Data!I$2:I$201,A5,Raw_Data!K$2:K$201)</f>
        <v>22.8918918918919</v>
      </c>
      <c r="H5" s="31" t="n">
        <f aca="false">AVERAGEIF(Raw_Data!I$2:I$201,A5,Raw_Data!Q$2:Q$201)</f>
        <v>28.5594594594595</v>
      </c>
      <c r="I5" s="32" t="n">
        <f aca="false">B5/SUM(B$5:B$9)</f>
        <v>0.185</v>
      </c>
    </row>
    <row r="6" customFormat="false" ht="15" hidden="false" customHeight="true" outlineLevel="0" collapsed="false">
      <c r="A6" s="21" t="s">
        <v>81</v>
      </c>
      <c r="B6" s="29" t="n">
        <f aca="false">COUNTIF(Raw_Data!I$2:I$201,A6)</f>
        <v>39</v>
      </c>
      <c r="C6" s="33" t="n">
        <f aca="false">AVERAGEIF(Raw_Data!I$2:I$201,A6,Raw_Data!J$2:J$201)</f>
        <v>3.43076923076923</v>
      </c>
      <c r="D6" s="33" t="n">
        <f aca="false">AVERAGEIF(Raw_Data!I$2:I$201,A6,Raw_Data!L$2:L$201)</f>
        <v>74.5846153846154</v>
      </c>
      <c r="E6" s="33" t="n">
        <f aca="false">AVERAGEIF(Raw_Data!I$2:I$201,A6,Raw_Data!M$2:M$201)</f>
        <v>1.88717948717949</v>
      </c>
      <c r="F6" s="33" t="n">
        <f aca="false">AVERAGEIF(Raw_Data!I$2:I$201,A6,Raw_Data!N$2:N$201)</f>
        <v>4.00769230769231</v>
      </c>
      <c r="G6" s="33" t="n">
        <f aca="false">AVERAGEIF(Raw_Data!I$2:I$201,A6,Raw_Data!K$2:K$201)</f>
        <v>22.1282051282051</v>
      </c>
      <c r="H6" s="33" t="n">
        <f aca="false">AVERAGEIF(Raw_Data!I$2:I$201,A6,Raw_Data!Q$2:Q$201)</f>
        <v>28.6410256410256</v>
      </c>
      <c r="I6" s="34" t="n">
        <f aca="false">B6/SUM(B$5:B$9)</f>
        <v>0.195</v>
      </c>
    </row>
    <row r="7" customFormat="false" ht="15" hidden="false" customHeight="true" outlineLevel="0" collapsed="false">
      <c r="A7" s="19" t="s">
        <v>82</v>
      </c>
      <c r="B7" s="27" t="n">
        <f aca="false">COUNTIF(Raw_Data!I$2:I$201,A7)</f>
        <v>40</v>
      </c>
      <c r="C7" s="31" t="n">
        <f aca="false">AVERAGEIF(Raw_Data!I$2:I$201,A7,Raw_Data!J$2:J$201)</f>
        <v>3.23</v>
      </c>
      <c r="D7" s="31" t="n">
        <f aca="false">AVERAGEIF(Raw_Data!I$2:I$201,A7,Raw_Data!L$2:L$201)</f>
        <v>77.3175</v>
      </c>
      <c r="E7" s="31" t="n">
        <f aca="false">AVERAGEIF(Raw_Data!I$2:I$201,A7,Raw_Data!M$2:M$201)</f>
        <v>1.8675</v>
      </c>
      <c r="F7" s="31" t="n">
        <f aca="false">AVERAGEIF(Raw_Data!I$2:I$201,A7,Raw_Data!N$2:N$201)</f>
        <v>4.0875</v>
      </c>
      <c r="G7" s="31" t="n">
        <f aca="false">AVERAGEIF(Raw_Data!I$2:I$201,A7,Raw_Data!K$2:K$201)</f>
        <v>21.95</v>
      </c>
      <c r="H7" s="31" t="n">
        <f aca="false">AVERAGEIF(Raw_Data!I$2:I$201,A7,Raw_Data!Q$2:Q$201)</f>
        <v>28.7025</v>
      </c>
      <c r="I7" s="32" t="n">
        <f aca="false">B7/SUM(B$5:B$9)</f>
        <v>0.2</v>
      </c>
    </row>
    <row r="8" customFormat="false" ht="15" hidden="false" customHeight="true" outlineLevel="0" collapsed="false">
      <c r="A8" s="21" t="s">
        <v>83</v>
      </c>
      <c r="B8" s="29" t="n">
        <f aca="false">COUNTIF(Raw_Data!I$2:I$201,A8)</f>
        <v>48</v>
      </c>
      <c r="C8" s="33" t="n">
        <f aca="false">AVERAGEIF(Raw_Data!I$2:I$201,A8,Raw_Data!J$2:J$201)</f>
        <v>3.05625</v>
      </c>
      <c r="D8" s="33" t="n">
        <f aca="false">AVERAGEIF(Raw_Data!I$2:I$201,A8,Raw_Data!L$2:L$201)</f>
        <v>75.0770833333333</v>
      </c>
      <c r="E8" s="33" t="n">
        <f aca="false">AVERAGEIF(Raw_Data!I$2:I$201,A8,Raw_Data!M$2:M$201)</f>
        <v>1.86875</v>
      </c>
      <c r="F8" s="33" t="n">
        <f aca="false">AVERAGEIF(Raw_Data!I$2:I$201,A8,Raw_Data!N$2:N$201)</f>
        <v>4.03541666666667</v>
      </c>
      <c r="G8" s="33" t="n">
        <f aca="false">AVERAGEIF(Raw_Data!I$2:I$201,A8,Raw_Data!K$2:K$201)</f>
        <v>22.4583333333333</v>
      </c>
      <c r="H8" s="33" t="n">
        <f aca="false">AVERAGEIF(Raw_Data!I$2:I$201,A8,Raw_Data!Q$2:Q$201)</f>
        <v>27.09375</v>
      </c>
      <c r="I8" s="34" t="n">
        <f aca="false">B8/SUM(B$5:B$9)</f>
        <v>0.24</v>
      </c>
    </row>
    <row r="9" customFormat="false" ht="15" hidden="false" customHeight="true" outlineLevel="0" collapsed="false">
      <c r="A9" s="19" t="s">
        <v>84</v>
      </c>
      <c r="B9" s="27" t="n">
        <f aca="false">COUNTIF(Raw_Data!I$2:I$201,A9)</f>
        <v>36</v>
      </c>
      <c r="C9" s="31" t="n">
        <f aca="false">AVERAGEIF(Raw_Data!I$2:I$201,A9,Raw_Data!J$2:J$201)</f>
        <v>3.39166666666667</v>
      </c>
      <c r="D9" s="31" t="n">
        <f aca="false">AVERAGEIF(Raw_Data!I$2:I$201,A9,Raw_Data!L$2:L$201)</f>
        <v>78.2916666666667</v>
      </c>
      <c r="E9" s="31" t="n">
        <f aca="false">AVERAGEIF(Raw_Data!I$2:I$201,A9,Raw_Data!M$2:M$201)</f>
        <v>2.02777777777778</v>
      </c>
      <c r="F9" s="31" t="n">
        <f aca="false">AVERAGEIF(Raw_Data!I$2:I$201,A9,Raw_Data!N$2:N$201)</f>
        <v>4.03611111111111</v>
      </c>
      <c r="G9" s="31" t="n">
        <f aca="false">AVERAGEIF(Raw_Data!I$2:I$201,A9,Raw_Data!K$2:K$201)</f>
        <v>22.75</v>
      </c>
      <c r="H9" s="31" t="n">
        <f aca="false">AVERAGEIF(Raw_Data!I$2:I$201,A9,Raw_Data!Q$2:Q$201)</f>
        <v>26.5777777777778</v>
      </c>
      <c r="I9" s="32" t="n">
        <f aca="false">B9/SUM(B$5:B$9)</f>
        <v>0.18</v>
      </c>
    </row>
    <row r="10" customFormat="false" ht="15" hidden="false" customHeight="true" outlineLevel="0" collapsed="false">
      <c r="A10" s="35" t="s">
        <v>130</v>
      </c>
      <c r="B10" s="35" t="n">
        <f aca="false">SUM(B5:B9)</f>
        <v>200</v>
      </c>
      <c r="C10" s="35" t="n">
        <f aca="false">AVERAGE(C5:C9)</f>
        <v>3.25957501732502</v>
      </c>
      <c r="D10" s="35" t="n">
        <f aca="false">AVERAGE(D5:D9)</f>
        <v>75.8914703742204</v>
      </c>
      <c r="E10" s="35" t="n">
        <f aca="false">AVERAGE(E5:E9)</f>
        <v>1.91456577731578</v>
      </c>
      <c r="F10" s="35" t="n">
        <f aca="false">AVERAGE(F5:F9)</f>
        <v>4.03604671979672</v>
      </c>
      <c r="G10" s="35" t="n">
        <f aca="false">AVERAGE(G5:G9)</f>
        <v>22.4356860706861</v>
      </c>
      <c r="H10" s="35" t="n">
        <f aca="false">AVERAGE(H5:H9)</f>
        <v>27.9149025756526</v>
      </c>
      <c r="I10" s="36" t="n">
        <f aca="false">SUM(I5:I9)</f>
        <v>1</v>
      </c>
    </row>
    <row r="12" customFormat="false" ht="25.5" hidden="false" customHeight="true" outlineLevel="0" collapsed="false">
      <c r="A12" s="23" t="s">
        <v>131</v>
      </c>
      <c r="B12" s="23"/>
      <c r="C12" s="23"/>
      <c r="D12" s="23"/>
      <c r="E12" s="23"/>
      <c r="F12" s="23"/>
      <c r="G12" s="23"/>
      <c r="H12" s="23"/>
      <c r="I12" s="23"/>
    </row>
    <row r="13" customFormat="false" ht="15" hidden="false" customHeight="true" outlineLevel="0" collapsed="false">
      <c r="A13" s="12" t="s">
        <v>90</v>
      </c>
      <c r="B13" s="12" t="s">
        <v>132</v>
      </c>
      <c r="C13" s="12" t="s">
        <v>78</v>
      </c>
      <c r="D13" s="12" t="s">
        <v>91</v>
      </c>
      <c r="E13" s="12" t="s">
        <v>126</v>
      </c>
      <c r="F13" s="12" t="s">
        <v>133</v>
      </c>
      <c r="G13" s="12" t="s">
        <v>134</v>
      </c>
      <c r="H13" s="12" t="s">
        <v>135</v>
      </c>
      <c r="I13" s="12" t="s">
        <v>136</v>
      </c>
    </row>
    <row r="14" customFormat="false" ht="15" hidden="false" customHeight="true" outlineLevel="0" collapsed="false">
      <c r="A14" s="19" t="s">
        <v>93</v>
      </c>
      <c r="B14" s="27" t="n">
        <f aca="false">COUNTIF(Raw_Data!D$2:D$201,A14)</f>
        <v>46</v>
      </c>
      <c r="C14" s="31" t="n">
        <f aca="false">AVERAGEIF(Raw_Data!D$2:D$201,A14,Raw_Data!L$2:L$201)</f>
        <v>75.3869565217391</v>
      </c>
      <c r="D14" s="31" t="n">
        <f aca="false">AVERAGEIF(Raw_Data!D$2:D$201,A14,Raw_Data!M$2:M$201)</f>
        <v>1.8695652173913</v>
      </c>
      <c r="E14" s="31" t="n">
        <f aca="false">AVERAGEIF(Raw_Data!D$2:D$201,A14,Raw_Data!N$2:N$201)</f>
        <v>4.09565217391304</v>
      </c>
      <c r="F14" s="27" t="str">
        <f aca="false">IFERROR(INDEX(Raw_Data!I$2:I$201,MATCH(MAX(IF(Raw_Data!D$2:D$201=A14,Raw_Data!L$2:L$201)),Raw_Data!L$2:L$201,0)),"N/A")</f>
        <v>N/A</v>
      </c>
      <c r="G14" s="31" t="n">
        <f aca="false">AVERAGEIF(Raw_Data!D$2:D$201,A14,Raw_Data!K$2:K$201)</f>
        <v>22.9130434782609</v>
      </c>
      <c r="H14" s="27" t="n">
        <f aca="false">COUNTIFS(Raw_Data!D$2:D$201,A14,Raw_Data!S$2:S$201,"Top Performer")</f>
        <v>9</v>
      </c>
      <c r="I14" s="32" t="n">
        <f aca="false">H14/B14</f>
        <v>0.195652173913044</v>
      </c>
    </row>
    <row r="15" customFormat="false" ht="15" hidden="false" customHeight="true" outlineLevel="0" collapsed="false">
      <c r="A15" s="21" t="s">
        <v>95</v>
      </c>
      <c r="B15" s="29" t="n">
        <f aca="false">COUNTIF(Raw_Data!D$2:D$201,A15)</f>
        <v>40</v>
      </c>
      <c r="C15" s="33" t="n">
        <f aca="false">AVERAGEIF(Raw_Data!D$2:D$201,A15,Raw_Data!L$2:L$201)</f>
        <v>73.57</v>
      </c>
      <c r="D15" s="33" t="n">
        <f aca="false">AVERAGEIF(Raw_Data!D$2:D$201,A15,Raw_Data!M$2:M$201)</f>
        <v>1.87</v>
      </c>
      <c r="E15" s="33" t="n">
        <f aca="false">AVERAGEIF(Raw_Data!D$2:D$201,A15,Raw_Data!N$2:N$201)</f>
        <v>4.1025</v>
      </c>
      <c r="F15" s="29" t="str">
        <f aca="false">IFERROR(INDEX(Raw_Data!I$2:I$201,MATCH(MAX(IF(Raw_Data!D$2:D$201=A15,Raw_Data!L$2:L$201)),Raw_Data!L$2:L$201,0)),"N/A")</f>
        <v>N/A</v>
      </c>
      <c r="G15" s="33" t="n">
        <f aca="false">AVERAGEIF(Raw_Data!D$2:D$201,A15,Raw_Data!K$2:K$201)</f>
        <v>21.45</v>
      </c>
      <c r="H15" s="29" t="n">
        <f aca="false">COUNTIFS(Raw_Data!D$2:D$201,A15,Raw_Data!S$2:S$201,"Top Performer")</f>
        <v>6</v>
      </c>
      <c r="I15" s="34" t="n">
        <f aca="false">H15/B15</f>
        <v>0.15</v>
      </c>
    </row>
    <row r="16" customFormat="false" ht="15" hidden="false" customHeight="true" outlineLevel="0" collapsed="false">
      <c r="A16" s="19" t="s">
        <v>97</v>
      </c>
      <c r="B16" s="27" t="n">
        <f aca="false">COUNTIF(Raw_Data!D$2:D$201,A16)</f>
        <v>36</v>
      </c>
      <c r="C16" s="31" t="n">
        <f aca="false">AVERAGEIF(Raw_Data!D$2:D$201,A16,Raw_Data!L$2:L$201)</f>
        <v>75.2194444444445</v>
      </c>
      <c r="D16" s="31" t="n">
        <f aca="false">AVERAGEIF(Raw_Data!D$2:D$201,A16,Raw_Data!M$2:M$201)</f>
        <v>2.01666666666667</v>
      </c>
      <c r="E16" s="31" t="n">
        <f aca="false">AVERAGEIF(Raw_Data!D$2:D$201,A16,Raw_Data!N$2:N$201)</f>
        <v>4.17222222222222</v>
      </c>
      <c r="F16" s="27" t="str">
        <f aca="false">IFERROR(INDEX(Raw_Data!I$2:I$201,MATCH(MAX(IF(Raw_Data!D$2:D$201=A16,Raw_Data!L$2:L$201)),Raw_Data!L$2:L$201,0)),"N/A")</f>
        <v>N/A</v>
      </c>
      <c r="G16" s="31" t="n">
        <f aca="false">AVERAGEIF(Raw_Data!D$2:D$201,A16,Raw_Data!K$2:K$201)</f>
        <v>23.4166666666667</v>
      </c>
      <c r="H16" s="27" t="n">
        <f aca="false">COUNTIFS(Raw_Data!D$2:D$201,A16,Raw_Data!S$2:S$201,"Top Performer")</f>
        <v>6</v>
      </c>
      <c r="I16" s="32" t="n">
        <f aca="false">H16/B16</f>
        <v>0.166666666666667</v>
      </c>
    </row>
    <row r="17" customFormat="false" ht="15" hidden="false" customHeight="true" outlineLevel="0" collapsed="false">
      <c r="A17" s="21" t="s">
        <v>99</v>
      </c>
      <c r="B17" s="29" t="n">
        <f aca="false">COUNTIF(Raw_Data!D$2:D$201,A17)</f>
        <v>37</v>
      </c>
      <c r="C17" s="33" t="n">
        <f aca="false">AVERAGEIF(Raw_Data!D$2:D$201,A17,Raw_Data!L$2:L$201)</f>
        <v>76.3702702702703</v>
      </c>
      <c r="D17" s="33" t="n">
        <f aca="false">AVERAGEIF(Raw_Data!D$2:D$201,A17,Raw_Data!M$2:M$201)</f>
        <v>2.04054054054054</v>
      </c>
      <c r="E17" s="33" t="n">
        <f aca="false">AVERAGEIF(Raw_Data!D$2:D$201,A17,Raw_Data!N$2:N$201)</f>
        <v>3.94054054054054</v>
      </c>
      <c r="F17" s="29" t="str">
        <f aca="false">IFERROR(INDEX(Raw_Data!I$2:I$201,MATCH(MAX(IF(Raw_Data!D$2:D$201=A17,Raw_Data!L$2:L$201)),Raw_Data!L$2:L$201,0)),"N/A")</f>
        <v>N/A</v>
      </c>
      <c r="G17" s="33" t="n">
        <f aca="false">AVERAGEIF(Raw_Data!D$2:D$201,A17,Raw_Data!K$2:K$201)</f>
        <v>23.2162162162162</v>
      </c>
      <c r="H17" s="29" t="n">
        <f aca="false">COUNTIFS(Raw_Data!D$2:D$201,A17,Raw_Data!S$2:S$201,"Top Performer")</f>
        <v>4</v>
      </c>
      <c r="I17" s="34" t="n">
        <f aca="false">H17/B17</f>
        <v>0.108108108108108</v>
      </c>
    </row>
    <row r="18" customFormat="false" ht="15" hidden="false" customHeight="true" outlineLevel="0" collapsed="false">
      <c r="A18" s="19" t="s">
        <v>101</v>
      </c>
      <c r="B18" s="27" t="n">
        <f aca="false">COUNTIF(Raw_Data!D$2:D$201,A18)</f>
        <v>41</v>
      </c>
      <c r="C18" s="31" t="n">
        <f aca="false">AVERAGEIF(Raw_Data!D$2:D$201,A18,Raw_Data!L$2:L$201)</f>
        <v>78.6439024390244</v>
      </c>
      <c r="D18" s="31" t="n">
        <f aca="false">AVERAGEIF(Raw_Data!D$2:D$201,A18,Raw_Data!M$2:M$201)</f>
        <v>1.78536585365854</v>
      </c>
      <c r="E18" s="31" t="n">
        <f aca="false">AVERAGEIF(Raw_Data!D$2:D$201,A18,Raw_Data!N$2:N$201)</f>
        <v>3.87317073170732</v>
      </c>
      <c r="F18" s="27" t="str">
        <f aca="false">IFERROR(INDEX(Raw_Data!I$2:I$201,MATCH(MAX(IF(Raw_Data!D$2:D$201=A18,Raw_Data!L$2:L$201)),Raw_Data!L$2:L$201,0)),"N/A")</f>
        <v>N/A</v>
      </c>
      <c r="G18" s="31" t="n">
        <f aca="false">AVERAGEIF(Raw_Data!D$2:D$201,A18,Raw_Data!K$2:K$201)</f>
        <v>21.2439024390244</v>
      </c>
      <c r="H18" s="27" t="n">
        <f aca="false">COUNTIFS(Raw_Data!D$2:D$201,A18,Raw_Data!S$2:S$201,"Top Performer")</f>
        <v>8</v>
      </c>
      <c r="I18" s="32" t="n">
        <f aca="false">H18/B18</f>
        <v>0.195121951219512</v>
      </c>
    </row>
    <row r="20" customFormat="false" ht="25.5" hidden="false" customHeight="true" outlineLevel="0" collapsed="false">
      <c r="A20" s="26" t="s">
        <v>137</v>
      </c>
      <c r="B20" s="26"/>
      <c r="C20" s="26"/>
      <c r="D20" s="26"/>
      <c r="E20" s="26"/>
      <c r="F20" s="26"/>
      <c r="G20" s="26"/>
      <c r="H20" s="26"/>
      <c r="I20" s="26"/>
    </row>
    <row r="21" customFormat="false" ht="15" hidden="false" customHeight="true" outlineLevel="0" collapsed="false">
      <c r="A21" s="12" t="s">
        <v>87</v>
      </c>
      <c r="B21" s="12" t="s">
        <v>122</v>
      </c>
      <c r="C21" s="12" t="s">
        <v>138</v>
      </c>
      <c r="D21" s="12" t="s">
        <v>78</v>
      </c>
      <c r="E21" s="12" t="s">
        <v>91</v>
      </c>
      <c r="F21" s="12" t="s">
        <v>139</v>
      </c>
      <c r="G21" s="12" t="s">
        <v>140</v>
      </c>
      <c r="H21" s="12" t="s">
        <v>126</v>
      </c>
      <c r="I21" s="12" t="s">
        <v>141</v>
      </c>
    </row>
    <row r="22" customFormat="false" ht="15" hidden="false" customHeight="true" outlineLevel="0" collapsed="false">
      <c r="A22" s="37" t="s">
        <v>92</v>
      </c>
      <c r="B22" s="24" t="n">
        <f aca="false">COUNTIF(Raw_Data!B$2:B$201,A22)</f>
        <v>8</v>
      </c>
      <c r="C22" s="24" t="n">
        <f aca="false">SUMIF(Raw_Data!B$2:B$201,A22,Raw_Data!K$2:K$201)</f>
        <v>245</v>
      </c>
      <c r="D22" s="38" t="n">
        <f aca="false">AVERAGEIF(Raw_Data!B$2:B$201,A22,Raw_Data!L$2:L$201)</f>
        <v>78.95</v>
      </c>
      <c r="E22" s="38" t="n">
        <f aca="false">AVERAGEIF(Raw_Data!B$2:B$201,A22,Raw_Data!M$2:M$201)</f>
        <v>1.9375</v>
      </c>
      <c r="F22" s="39" t="s">
        <v>142</v>
      </c>
      <c r="G22" s="24" t="n">
        <f aca="false">IF(ROW()=22,B22,G21+B22)</f>
        <v>8</v>
      </c>
      <c r="H22" s="38" t="n">
        <f aca="false">AVERAGEIF(Raw_Data!B$2:B$201,A22,Raw_Data!N$2:N$201)</f>
        <v>3.9375</v>
      </c>
      <c r="I22" s="24" t="n">
        <f aca="false">D22/IF(AVERAGEIF(Raw_Data!B$2:B$201,A22,Raw_Data!P$2:P$201)=0,1,AVERAGEIF(Raw_Data!B$2:B$201,A22,Raw_Data!P$2:P$201))</f>
        <v>4.32602739726027</v>
      </c>
    </row>
    <row r="23" customFormat="false" ht="15" hidden="false" customHeight="true" outlineLevel="0" collapsed="false">
      <c r="A23" s="40" t="s">
        <v>94</v>
      </c>
      <c r="B23" s="25" t="n">
        <f aca="false">COUNTIF(Raw_Data!B$2:B$201,A23)</f>
        <v>17</v>
      </c>
      <c r="C23" s="25" t="n">
        <f aca="false">SUMIF(Raw_Data!B$2:B$201,A23,Raw_Data!K$2:K$201)</f>
        <v>409</v>
      </c>
      <c r="D23" s="41" t="n">
        <f aca="false">AVERAGEIF(Raw_Data!B$2:B$201,A23,Raw_Data!L$2:L$201)</f>
        <v>74.1176470588235</v>
      </c>
      <c r="E23" s="41" t="n">
        <f aca="false">AVERAGEIF(Raw_Data!B$2:B$201,A23,Raw_Data!M$2:M$201)</f>
        <v>1.55294117647059</v>
      </c>
      <c r="F23" s="42" t="n">
        <f aca="false">IF(ROW()-22=0,"N/A",(B23-B22)/IF(B22=0,1,B22))</f>
        <v>1.125</v>
      </c>
      <c r="G23" s="25" t="n">
        <f aca="false">IF(ROW()=22,B23,G22+B23)</f>
        <v>25</v>
      </c>
      <c r="H23" s="41" t="n">
        <f aca="false">AVERAGEIF(Raw_Data!B$2:B$201,A23,Raw_Data!N$2:N$201)</f>
        <v>4.1</v>
      </c>
      <c r="I23" s="25" t="n">
        <f aca="false">D23/IF(AVERAGEIF(Raw_Data!B$2:B$201,A23,Raw_Data!P$2:P$201)=0,1,AVERAGEIF(Raw_Data!B$2:B$201,A23,Raw_Data!P$2:P$201))</f>
        <v>2.57142857142857</v>
      </c>
    </row>
    <row r="24" customFormat="false" ht="15" hidden="false" customHeight="true" outlineLevel="0" collapsed="false">
      <c r="A24" s="37" t="s">
        <v>96</v>
      </c>
      <c r="B24" s="24" t="n">
        <f aca="false">COUNTIF(Raw_Data!B$2:B$201,A24)</f>
        <v>15</v>
      </c>
      <c r="C24" s="24" t="n">
        <f aca="false">SUMIF(Raw_Data!B$2:B$201,A24,Raw_Data!K$2:K$201)</f>
        <v>359</v>
      </c>
      <c r="D24" s="38" t="n">
        <f aca="false">AVERAGEIF(Raw_Data!B$2:B$201,A24,Raw_Data!L$2:L$201)</f>
        <v>75.26</v>
      </c>
      <c r="E24" s="38" t="n">
        <f aca="false">AVERAGEIF(Raw_Data!B$2:B$201,A24,Raw_Data!M$2:M$201)</f>
        <v>1.53333333333333</v>
      </c>
      <c r="F24" s="39" t="n">
        <f aca="false">IF(ROW()-22=0,"N/A",(B24-B23)/IF(B23=0,1,B23))</f>
        <v>-0.117647058823529</v>
      </c>
      <c r="G24" s="24" t="n">
        <f aca="false">IF(ROW()=22,B24,G23+B24)</f>
        <v>40</v>
      </c>
      <c r="H24" s="38" t="n">
        <f aca="false">AVERAGEIF(Raw_Data!B$2:B$201,A24,Raw_Data!N$2:N$201)</f>
        <v>4.14</v>
      </c>
      <c r="I24" s="24" t="n">
        <f aca="false">D24/IF(AVERAGEIF(Raw_Data!B$2:B$201,A24,Raw_Data!P$2:P$201)=0,1,AVERAGEIF(Raw_Data!B$2:B$201,A24,Raw_Data!P$2:P$201))</f>
        <v>2.91705426356589</v>
      </c>
    </row>
    <row r="25" customFormat="false" ht="15" hidden="false" customHeight="true" outlineLevel="0" collapsed="false">
      <c r="A25" s="40" t="s">
        <v>98</v>
      </c>
      <c r="B25" s="25" t="n">
        <f aca="false">COUNTIF(Raw_Data!B$2:B$201,A25)</f>
        <v>13</v>
      </c>
      <c r="C25" s="25" t="n">
        <f aca="false">SUMIF(Raw_Data!B$2:B$201,A25,Raw_Data!K$2:K$201)</f>
        <v>210</v>
      </c>
      <c r="D25" s="41" t="n">
        <f aca="false">AVERAGEIF(Raw_Data!B$2:B$201,A25,Raw_Data!L$2:L$201)</f>
        <v>79.7923076923077</v>
      </c>
      <c r="E25" s="41" t="n">
        <f aca="false">AVERAGEIF(Raw_Data!B$2:B$201,A25,Raw_Data!M$2:M$201)</f>
        <v>1.73076923076923</v>
      </c>
      <c r="F25" s="42" t="n">
        <f aca="false">IF(ROW()-22=0,"N/A",(B25-B24)/IF(B24=0,1,B24))</f>
        <v>-0.133333333333333</v>
      </c>
      <c r="G25" s="25" t="n">
        <f aca="false">IF(ROW()=22,B25,G24+B25)</f>
        <v>53</v>
      </c>
      <c r="H25" s="41" t="n">
        <f aca="false">AVERAGEIF(Raw_Data!B$2:B$201,A25,Raw_Data!N$2:N$201)</f>
        <v>3.95384615384615</v>
      </c>
      <c r="I25" s="25" t="n">
        <f aca="false">D25/IF(AVERAGEIF(Raw_Data!B$2:B$201,A25,Raw_Data!P$2:P$201)=0,1,AVERAGEIF(Raw_Data!B$2:B$201,A25,Raw_Data!P$2:P$201))</f>
        <v>3.12439759036145</v>
      </c>
    </row>
    <row r="26" customFormat="false" ht="15" hidden="false" customHeight="true" outlineLevel="0" collapsed="false">
      <c r="A26" s="37" t="s">
        <v>100</v>
      </c>
      <c r="B26" s="24" t="n">
        <f aca="false">COUNTIF(Raw_Data!B$2:B$201,A26)</f>
        <v>11</v>
      </c>
      <c r="C26" s="24" t="n">
        <f aca="false">SUMIF(Raw_Data!B$2:B$201,A26,Raw_Data!K$2:K$201)</f>
        <v>224</v>
      </c>
      <c r="D26" s="38" t="n">
        <f aca="false">AVERAGEIF(Raw_Data!B$2:B$201,A26,Raw_Data!L$2:L$201)</f>
        <v>76.1181818181818</v>
      </c>
      <c r="E26" s="38" t="n">
        <f aca="false">AVERAGEIF(Raw_Data!B$2:B$201,A26,Raw_Data!M$2:M$201)</f>
        <v>1.74545454545455</v>
      </c>
      <c r="F26" s="39" t="n">
        <f aca="false">IF(ROW()-22=0,"N/A",(B26-B25)/IF(B25=0,1,B25))</f>
        <v>-0.153846153846154</v>
      </c>
      <c r="G26" s="24" t="n">
        <f aca="false">IF(ROW()=22,B26,G25+B26)</f>
        <v>64</v>
      </c>
      <c r="H26" s="38" t="n">
        <f aca="false">AVERAGEIF(Raw_Data!B$2:B$201,A26,Raw_Data!N$2:N$201)</f>
        <v>4.02727272727273</v>
      </c>
      <c r="I26" s="24" t="n">
        <f aca="false">D26/IF(AVERAGEIF(Raw_Data!B$2:B$201,A26,Raw_Data!P$2:P$201)=0,1,AVERAGEIF(Raw_Data!B$2:B$201,A26,Raw_Data!P$2:P$201))</f>
        <v>2.60841121495327</v>
      </c>
    </row>
    <row r="27" customFormat="false" ht="15" hidden="false" customHeight="true" outlineLevel="0" collapsed="false">
      <c r="A27" s="40" t="s">
        <v>102</v>
      </c>
      <c r="B27" s="25" t="n">
        <f aca="false">COUNTIF(Raw_Data!B$2:B$201,A27)</f>
        <v>13</v>
      </c>
      <c r="C27" s="25" t="n">
        <f aca="false">SUMIF(Raw_Data!B$2:B$201,A27,Raw_Data!K$2:K$201)</f>
        <v>299</v>
      </c>
      <c r="D27" s="41" t="n">
        <f aca="false">AVERAGEIF(Raw_Data!B$2:B$201,A27,Raw_Data!L$2:L$201)</f>
        <v>70.0538461538462</v>
      </c>
      <c r="E27" s="41" t="n">
        <f aca="false">AVERAGEIF(Raw_Data!B$2:B$201,A27,Raw_Data!M$2:M$201)</f>
        <v>2.35384615384615</v>
      </c>
      <c r="F27" s="42" t="n">
        <f aca="false">IF(ROW()-22=0,"N/A",(B27-B26)/IF(B26=0,1,B26))</f>
        <v>0.181818181818182</v>
      </c>
      <c r="G27" s="25" t="n">
        <f aca="false">IF(ROW()=22,B27,G26+B27)</f>
        <v>77</v>
      </c>
      <c r="H27" s="41" t="n">
        <f aca="false">AVERAGEIF(Raw_Data!B$2:B$201,A27,Raw_Data!N$2:N$201)</f>
        <v>4.24615384615385</v>
      </c>
      <c r="I27" s="25" t="n">
        <f aca="false">D27/IF(AVERAGEIF(Raw_Data!B$2:B$201,A27,Raw_Data!P$2:P$201)=0,1,AVERAGEIF(Raw_Data!B$2:B$201,A27,Raw_Data!P$2:P$201))</f>
        <v>2.43502673796791</v>
      </c>
    </row>
    <row r="28" customFormat="false" ht="15" hidden="false" customHeight="true" outlineLevel="0" collapsed="false">
      <c r="A28" s="37" t="s">
        <v>103</v>
      </c>
      <c r="B28" s="24" t="n">
        <f aca="false">COUNTIF(Raw_Data!B$2:B$201,A28)</f>
        <v>13</v>
      </c>
      <c r="C28" s="24" t="n">
        <f aca="false">SUMIF(Raw_Data!B$2:B$201,A28,Raw_Data!K$2:K$201)</f>
        <v>321</v>
      </c>
      <c r="D28" s="38" t="n">
        <f aca="false">AVERAGEIF(Raw_Data!B$2:B$201,A28,Raw_Data!L$2:L$201)</f>
        <v>75.5461538461538</v>
      </c>
      <c r="E28" s="38" t="n">
        <f aca="false">AVERAGEIF(Raw_Data!B$2:B$201,A28,Raw_Data!M$2:M$201)</f>
        <v>2.40769230769231</v>
      </c>
      <c r="F28" s="39" t="n">
        <f aca="false">IF(ROW()-22=0,"N/A",(B28-B27)/IF(B27=0,1,B27))</f>
        <v>0</v>
      </c>
      <c r="G28" s="24" t="n">
        <f aca="false">IF(ROW()=22,B28,G27+B28)</f>
        <v>90</v>
      </c>
      <c r="H28" s="38" t="n">
        <f aca="false">AVERAGEIF(Raw_Data!B$2:B$201,A28,Raw_Data!N$2:N$201)</f>
        <v>4.09230769230769</v>
      </c>
      <c r="I28" s="24" t="n">
        <f aca="false">D28/IF(AVERAGEIF(Raw_Data!B$2:B$201,A28,Raw_Data!P$2:P$201)=0,1,AVERAGEIF(Raw_Data!B$2:B$201,A28,Raw_Data!P$2:P$201))</f>
        <v>3.16806451612903</v>
      </c>
    </row>
    <row r="29" customFormat="false" ht="15" hidden="false" customHeight="true" outlineLevel="0" collapsed="false">
      <c r="A29" s="40" t="s">
        <v>104</v>
      </c>
      <c r="B29" s="25" t="n">
        <f aca="false">COUNTIF(Raw_Data!B$2:B$201,A29)</f>
        <v>13</v>
      </c>
      <c r="C29" s="25" t="n">
        <f aca="false">SUMIF(Raw_Data!B$2:B$201,A29,Raw_Data!K$2:K$201)</f>
        <v>345</v>
      </c>
      <c r="D29" s="41" t="n">
        <f aca="false">AVERAGEIF(Raw_Data!B$2:B$201,A29,Raw_Data!L$2:L$201)</f>
        <v>74.1153846153846</v>
      </c>
      <c r="E29" s="41" t="n">
        <f aca="false">AVERAGEIF(Raw_Data!B$2:B$201,A29,Raw_Data!M$2:M$201)</f>
        <v>2.21538461538462</v>
      </c>
      <c r="F29" s="42" t="n">
        <f aca="false">IF(ROW()-22=0,"N/A",(B29-B28)/IF(B28=0,1,B28))</f>
        <v>0</v>
      </c>
      <c r="G29" s="25" t="n">
        <f aca="false">IF(ROW()=22,B29,G28+B29)</f>
        <v>103</v>
      </c>
      <c r="H29" s="41" t="n">
        <f aca="false">AVERAGEIF(Raw_Data!B$2:B$201,A29,Raw_Data!N$2:N$201)</f>
        <v>4.16923076923077</v>
      </c>
      <c r="I29" s="25" t="n">
        <f aca="false">D29/IF(AVERAGEIF(Raw_Data!B$2:B$201,A29,Raw_Data!P$2:P$201)=0,1,AVERAGEIF(Raw_Data!B$2:B$201,A29,Raw_Data!P$2:P$201))</f>
        <v>2.67638888888889</v>
      </c>
    </row>
    <row r="30" customFormat="false" ht="15" hidden="false" customHeight="true" outlineLevel="0" collapsed="false">
      <c r="A30" s="37" t="s">
        <v>105</v>
      </c>
      <c r="B30" s="24" t="n">
        <f aca="false">COUNTIF(Raw_Data!B$2:B$201,A30)</f>
        <v>16</v>
      </c>
      <c r="C30" s="24" t="n">
        <f aca="false">SUMIF(Raw_Data!B$2:B$201,A30,Raw_Data!K$2:K$201)</f>
        <v>359</v>
      </c>
      <c r="D30" s="38" t="n">
        <f aca="false">AVERAGEIF(Raw_Data!B$2:B$201,A30,Raw_Data!L$2:L$201)</f>
        <v>80.30625</v>
      </c>
      <c r="E30" s="38" t="n">
        <f aca="false">AVERAGEIF(Raw_Data!B$2:B$201,A30,Raw_Data!M$2:M$201)</f>
        <v>1.93125</v>
      </c>
      <c r="F30" s="39" t="n">
        <f aca="false">IF(ROW()-22=0,"N/A",(B30-B29)/IF(B29=0,1,B29))</f>
        <v>0.230769230769231</v>
      </c>
      <c r="G30" s="24" t="n">
        <f aca="false">IF(ROW()=22,B30,G29+B30)</f>
        <v>119</v>
      </c>
      <c r="H30" s="38" t="n">
        <f aca="false">AVERAGEIF(Raw_Data!B$2:B$201,A30,Raw_Data!N$2:N$201)</f>
        <v>3.875</v>
      </c>
      <c r="I30" s="24" t="n">
        <f aca="false">D30/IF(AVERAGEIF(Raw_Data!B$2:B$201,A30,Raw_Data!P$2:P$201)=0,1,AVERAGEIF(Raw_Data!B$2:B$201,A30,Raw_Data!P$2:P$201))</f>
        <v>3.14926470588235</v>
      </c>
    </row>
    <row r="31" customFormat="false" ht="15" hidden="false" customHeight="true" outlineLevel="0" collapsed="false">
      <c r="A31" s="40" t="s">
        <v>106</v>
      </c>
      <c r="B31" s="25" t="n">
        <f aca="false">COUNTIF(Raw_Data!B$2:B$201,A31)</f>
        <v>21</v>
      </c>
      <c r="C31" s="25" t="n">
        <f aca="false">SUMIF(Raw_Data!B$2:B$201,A31,Raw_Data!K$2:K$201)</f>
        <v>329</v>
      </c>
      <c r="D31" s="41" t="n">
        <f aca="false">AVERAGEIF(Raw_Data!B$2:B$201,A31,Raw_Data!L$2:L$201)</f>
        <v>73.4857142857143</v>
      </c>
      <c r="E31" s="41" t="n">
        <f aca="false">AVERAGEIF(Raw_Data!B$2:B$201,A31,Raw_Data!M$2:M$201)</f>
        <v>1.86666666666667</v>
      </c>
      <c r="F31" s="42" t="n">
        <f aca="false">IF(ROW()-22=0,"N/A",(B31-B30)/IF(B30=0,1,B30))</f>
        <v>0.3125</v>
      </c>
      <c r="G31" s="25" t="n">
        <f aca="false">IF(ROW()=22,B31,G30+B31)</f>
        <v>140</v>
      </c>
      <c r="H31" s="41" t="n">
        <f aca="false">AVERAGEIF(Raw_Data!B$2:B$201,A31,Raw_Data!N$2:N$201)</f>
        <v>4.25714285714286</v>
      </c>
      <c r="I31" s="25" t="n">
        <f aca="false">D31/IF(AVERAGEIF(Raw_Data!B$2:B$201,A31,Raw_Data!P$2:P$201)=0,1,AVERAGEIF(Raw_Data!B$2:B$201,A31,Raw_Data!P$2:P$201))</f>
        <v>2.83676470588235</v>
      </c>
    </row>
    <row r="32" customFormat="false" ht="15" hidden="false" customHeight="true" outlineLevel="0" collapsed="false">
      <c r="A32" s="37" t="s">
        <v>107</v>
      </c>
      <c r="B32" s="24" t="n">
        <f aca="false">COUNTIF(Raw_Data!B$2:B$201,A32)</f>
        <v>14</v>
      </c>
      <c r="C32" s="24" t="n">
        <f aca="false">SUMIF(Raw_Data!B$2:B$201,A32,Raw_Data!K$2:K$201)</f>
        <v>266</v>
      </c>
      <c r="D32" s="38" t="n">
        <f aca="false">AVERAGEIF(Raw_Data!B$2:B$201,A32,Raw_Data!L$2:L$201)</f>
        <v>76.2571428571429</v>
      </c>
      <c r="E32" s="38" t="n">
        <f aca="false">AVERAGEIF(Raw_Data!B$2:B$201,A32,Raw_Data!M$2:M$201)</f>
        <v>1.70714285714286</v>
      </c>
      <c r="F32" s="39" t="n">
        <f aca="false">IF(ROW()-22=0,"N/A",(B32-B31)/IF(B31=0,1,B31))</f>
        <v>-0.333333333333333</v>
      </c>
      <c r="G32" s="24" t="n">
        <f aca="false">IF(ROW()=22,B32,G31+B32)</f>
        <v>154</v>
      </c>
      <c r="H32" s="38" t="n">
        <f aca="false">AVERAGEIF(Raw_Data!B$2:B$201,A32,Raw_Data!N$2:N$201)</f>
        <v>3.79285714285714</v>
      </c>
      <c r="I32" s="24" t="n">
        <f aca="false">D32/IF(AVERAGEIF(Raw_Data!B$2:B$201,A32,Raw_Data!P$2:P$201)=0,1,AVERAGEIF(Raw_Data!B$2:B$201,A32,Raw_Data!P$2:P$201))</f>
        <v>2.70278481012658</v>
      </c>
    </row>
    <row r="33" customFormat="false" ht="15" hidden="false" customHeight="true" outlineLevel="0" collapsed="false">
      <c r="A33" s="40" t="s">
        <v>108</v>
      </c>
      <c r="B33" s="25" t="n">
        <f aca="false">COUNTIF(Raw_Data!B$2:B$201,A33)</f>
        <v>10</v>
      </c>
      <c r="C33" s="25" t="n">
        <f aca="false">SUMIF(Raw_Data!B$2:B$201,A33,Raw_Data!K$2:K$201)</f>
        <v>226</v>
      </c>
      <c r="D33" s="41" t="n">
        <f aca="false">AVERAGEIF(Raw_Data!B$2:B$201,A33,Raw_Data!L$2:L$201)</f>
        <v>72.31</v>
      </c>
      <c r="E33" s="41" t="n">
        <f aca="false">AVERAGEIF(Raw_Data!B$2:B$201,A33,Raw_Data!M$2:M$201)</f>
        <v>2.12</v>
      </c>
      <c r="F33" s="42" t="n">
        <f aca="false">IF(ROW()-22=0,"N/A",(B33-B32)/IF(B32=0,1,B32))</f>
        <v>-0.285714285714286</v>
      </c>
      <c r="G33" s="25" t="n">
        <f aca="false">IF(ROW()=22,B33,G32+B33)</f>
        <v>164</v>
      </c>
      <c r="H33" s="41" t="n">
        <f aca="false">AVERAGEIF(Raw_Data!B$2:B$201,A33,Raw_Data!N$2:N$201)</f>
        <v>3.81</v>
      </c>
      <c r="I33" s="25" t="n">
        <f aca="false">D33/IF(AVERAGEIF(Raw_Data!B$2:B$201,A33,Raw_Data!P$2:P$201)=0,1,AVERAGEIF(Raw_Data!B$2:B$201,A33,Raw_Data!P$2:P$201))</f>
        <v>3.70820512820513</v>
      </c>
    </row>
    <row r="34" customFormat="false" ht="15" hidden="false" customHeight="true" outlineLevel="0" collapsed="false">
      <c r="A34" s="37" t="s">
        <v>109</v>
      </c>
      <c r="B34" s="24" t="n">
        <f aca="false">COUNTIF(Raw_Data!B$2:B$201,A34)</f>
        <v>9</v>
      </c>
      <c r="C34" s="24" t="n">
        <f aca="false">SUMIF(Raw_Data!B$2:B$201,A34,Raw_Data!K$2:K$201)</f>
        <v>209</v>
      </c>
      <c r="D34" s="38" t="n">
        <f aca="false">AVERAGEIF(Raw_Data!B$2:B$201,A34,Raw_Data!L$2:L$201)</f>
        <v>77.9888888888889</v>
      </c>
      <c r="E34" s="38" t="n">
        <f aca="false">AVERAGEIF(Raw_Data!B$2:B$201,A34,Raw_Data!M$2:M$201)</f>
        <v>2.02222222222222</v>
      </c>
      <c r="F34" s="39" t="n">
        <f aca="false">IF(ROW()-22=0,"N/A",(B34-B33)/IF(B33=0,1,B33))</f>
        <v>-0.1</v>
      </c>
      <c r="G34" s="24" t="n">
        <f aca="false">IF(ROW()=22,B34,G33+B34)</f>
        <v>173</v>
      </c>
      <c r="H34" s="38" t="n">
        <f aca="false">AVERAGEIF(Raw_Data!B$2:B$201,A34,Raw_Data!N$2:N$201)</f>
        <v>3.92222222222222</v>
      </c>
      <c r="I34" s="24" t="n">
        <f aca="false">D34/IF(AVERAGEIF(Raw_Data!B$2:B$201,A34,Raw_Data!P$2:P$201)=0,1,AVERAGEIF(Raw_Data!B$2:B$201,A34,Raw_Data!P$2:P$201))</f>
        <v>5.04964028776978</v>
      </c>
    </row>
    <row r="35" customFormat="false" ht="15" hidden="false" customHeight="true" outlineLevel="0" collapsed="false">
      <c r="A35" s="40" t="s">
        <v>110</v>
      </c>
      <c r="B35" s="25" t="n">
        <f aca="false">COUNTIF(Raw_Data!B$2:B$201,A35)</f>
        <v>14</v>
      </c>
      <c r="C35" s="25" t="n">
        <f aca="false">SUMIF(Raw_Data!B$2:B$201,A35,Raw_Data!K$2:K$201)</f>
        <v>385</v>
      </c>
      <c r="D35" s="41" t="n">
        <f aca="false">AVERAGEIF(Raw_Data!B$2:B$201,A35,Raw_Data!L$2:L$201)</f>
        <v>78.1357142857143</v>
      </c>
      <c r="E35" s="41" t="n">
        <f aca="false">AVERAGEIF(Raw_Data!B$2:B$201,A35,Raw_Data!M$2:M$201)</f>
        <v>1.94285714285714</v>
      </c>
      <c r="F35" s="42" t="n">
        <f aca="false">IF(ROW()-22=0,"N/A",(B35-B34)/IF(B34=0,1,B34))</f>
        <v>0.555555555555556</v>
      </c>
      <c r="G35" s="25" t="n">
        <f aca="false">IF(ROW()=22,B35,G34+B35)</f>
        <v>187</v>
      </c>
      <c r="H35" s="41" t="n">
        <f aca="false">AVERAGEIF(Raw_Data!B$2:B$201,A35,Raw_Data!N$2:N$201)</f>
        <v>4.08571428571429</v>
      </c>
      <c r="I35" s="25" t="n">
        <f aca="false">D35/IF(AVERAGEIF(Raw_Data!B$2:B$201,A35,Raw_Data!P$2:P$201)=0,1,AVERAGEIF(Raw_Data!B$2:B$201,A35,Raw_Data!P$2:P$201))</f>
        <v>3.77206896551724</v>
      </c>
    </row>
    <row r="36" customFormat="false" ht="15" hidden="false" customHeight="true" outlineLevel="0" collapsed="false">
      <c r="A36" s="37" t="s">
        <v>111</v>
      </c>
      <c r="B36" s="24" t="n">
        <f aca="false">COUNTIF(Raw_Data!B$2:B$201,A36)</f>
        <v>13</v>
      </c>
      <c r="C36" s="24" t="n">
        <f aca="false">SUMIF(Raw_Data!B$2:B$201,A36,Raw_Data!K$2:K$201)</f>
        <v>299</v>
      </c>
      <c r="D36" s="38" t="n">
        <f aca="false">AVERAGEIF(Raw_Data!B$2:B$201,A36,Raw_Data!L$2:L$201)</f>
        <v>77.1230769230769</v>
      </c>
      <c r="E36" s="38" t="n">
        <f aca="false">AVERAGEIF(Raw_Data!B$2:B$201,A36,Raw_Data!M$2:M$201)</f>
        <v>1.86153846153846</v>
      </c>
      <c r="F36" s="39" t="n">
        <f aca="false">IF(ROW()-22=0,"N/A",(B36-B35)/IF(B35=0,1,B35))</f>
        <v>-0.0714285714285714</v>
      </c>
      <c r="G36" s="24" t="n">
        <f aca="false">IF(ROW()=22,B36,G35+B36)</f>
        <v>200</v>
      </c>
      <c r="H36" s="38" t="n">
        <f aca="false">AVERAGEIF(Raw_Data!B$2:B$201,A36,Raw_Data!N$2:N$201)</f>
        <v>3.89230769230769</v>
      </c>
      <c r="I36" s="24" t="n">
        <f aca="false">D36/IF(AVERAGEIF(Raw_Data!B$2:B$201,A36,Raw_Data!P$2:P$201)=0,1,AVERAGEIF(Raw_Data!B$2:B$201,A36,Raw_Data!P$2:P$201))</f>
        <v>4.66325581395349</v>
      </c>
    </row>
    <row r="38" customFormat="false" ht="25.5" hidden="false" customHeight="true" outlineLevel="0" collapsed="false">
      <c r="A38" s="43" t="s">
        <v>143</v>
      </c>
      <c r="B38" s="43"/>
      <c r="C38" s="43"/>
      <c r="D38" s="43"/>
      <c r="E38" s="43"/>
      <c r="F38" s="43"/>
      <c r="G38" s="43"/>
      <c r="H38" s="43"/>
      <c r="I38" s="43"/>
    </row>
    <row r="39" customFormat="false" ht="15" hidden="false" customHeight="true" outlineLevel="0" collapsed="false">
      <c r="A39" s="12" t="s">
        <v>144</v>
      </c>
      <c r="B39" s="12" t="s">
        <v>132</v>
      </c>
      <c r="C39" s="12" t="s">
        <v>78</v>
      </c>
      <c r="D39" s="12" t="s">
        <v>91</v>
      </c>
      <c r="E39" s="12" t="s">
        <v>145</v>
      </c>
      <c r="F39" s="12" t="s">
        <v>134</v>
      </c>
      <c r="G39" s="12" t="s">
        <v>126</v>
      </c>
      <c r="H39" s="12" t="s">
        <v>146</v>
      </c>
      <c r="I39" s="12" t="s">
        <v>147</v>
      </c>
    </row>
    <row r="40" customFormat="false" ht="15" hidden="false" customHeight="true" outlineLevel="0" collapsed="false">
      <c r="A40" s="19" t="s">
        <v>148</v>
      </c>
      <c r="B40" s="27" t="n">
        <f aca="false">COUNTIF(Raw_Data!H$2:H$201,A40)</f>
        <v>176</v>
      </c>
      <c r="C40" s="31" t="n">
        <f aca="false">AVERAGEIF(Raw_Data!H$2:H$201,A40,Raw_Data!L$2:L$201)</f>
        <v>75.4892045454545</v>
      </c>
      <c r="D40" s="31" t="n">
        <f aca="false">AVERAGEIF(Raw_Data!H$2:H$201,A40,Raw_Data!M$2:M$201)</f>
        <v>1.94602272727273</v>
      </c>
      <c r="E40" s="31" t="n">
        <f aca="false">AVERAGEIF(Raw_Data!H$2:H$201,A40,Raw_Data!J$2:J$201)</f>
        <v>3.31420454545455</v>
      </c>
      <c r="F40" s="31" t="n">
        <f aca="false">AVERAGEIF(Raw_Data!H$2:H$201,A40,Raw_Data!K$2:K$201)</f>
        <v>22.2613636363636</v>
      </c>
      <c r="G40" s="31" t="n">
        <f aca="false">AVERAGEIF(Raw_Data!H$2:H$201,A40,Raw_Data!N$2:N$201)</f>
        <v>4.03068181818182</v>
      </c>
      <c r="H40" s="27" t="str">
        <f aca="false">IFERROR(INDEX(Raw_Data!I$2:I$201,MATCH(MAX(IF(Raw_Data!H$2:H$201=A40,Raw_Data!L$2:L$201)),Raw_Data!L$2:L$201,0)),"N/A")</f>
        <v>Claude</v>
      </c>
      <c r="I40" s="31" t="n">
        <f aca="false">AVERAGEIF(Raw_Data!H$2:H$201,A40,Raw_Data!Q$2:Q$201)</f>
        <v>27.8272727272727</v>
      </c>
    </row>
    <row r="41" customFormat="false" ht="15" hidden="false" customHeight="true" outlineLevel="0" collapsed="false">
      <c r="A41" s="21" t="s">
        <v>149</v>
      </c>
      <c r="B41" s="29" t="n">
        <f aca="false">COUNTIF(Raw_Data!H$2:H$201,A41)</f>
        <v>24</v>
      </c>
      <c r="C41" s="33" t="n">
        <f aca="false">AVERAGEIF(Raw_Data!H$2:H$201,A41,Raw_Data!L$2:L$201)</f>
        <v>78.4375</v>
      </c>
      <c r="D41" s="33" t="n">
        <f aca="false">AVERAGEIF(Raw_Data!H$2:H$201,A41,Raw_Data!M$2:M$201)</f>
        <v>1.65</v>
      </c>
      <c r="E41" s="33" t="n">
        <f aca="false">AVERAGEIF(Raw_Data!H$2:H$201,A41,Raw_Data!J$2:J$201)</f>
        <v>2.77083333333333</v>
      </c>
      <c r="F41" s="33" t="n">
        <f aca="false">AVERAGEIF(Raw_Data!H$2:H$201,A41,Raw_Data!K$2:K$201)</f>
        <v>23.625</v>
      </c>
      <c r="G41" s="33" t="n">
        <f aca="false">AVERAGEIF(Raw_Data!H$2:H$201,A41,Raw_Data!N$2:N$201)</f>
        <v>4.07916666666667</v>
      </c>
      <c r="H41" s="29" t="str">
        <f aca="false">IFERROR(INDEX(Raw_Data!I$2:I$201,MATCH(MAX(IF(Raw_Data!H$2:H$201=A41,Raw_Data!L$2:L$201)),Raw_Data!L$2:L$201,0)),"N/A")</f>
        <v>N/A</v>
      </c>
      <c r="I41" s="33" t="n">
        <f aca="false">AVERAGEIF(Raw_Data!H$2:H$201,A41,Raw_Data!Q$2:Q$201)</f>
        <v>28.3958333333333</v>
      </c>
    </row>
  </sheetData>
  <mergeCells count="5">
    <mergeCell ref="A1:N1"/>
    <mergeCell ref="A3:I3"/>
    <mergeCell ref="A12:I12"/>
    <mergeCell ref="A20:I20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32"/>
    <col collapsed="false" customWidth="true" hidden="false" outlineLevel="0" max="7" min="7" style="1" width="35"/>
    <col collapsed="false" customWidth="true" hidden="false" outlineLevel="0" max="8" min="8" style="1" width="12"/>
  </cols>
  <sheetData>
    <row r="1" customFormat="false" ht="31.5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44" t="s">
        <v>151</v>
      </c>
      <c r="B2" s="44" t="s">
        <v>152</v>
      </c>
      <c r="C2" s="44" t="s">
        <v>153</v>
      </c>
      <c r="D2" s="44" t="s">
        <v>154</v>
      </c>
      <c r="E2" s="44" t="s">
        <v>155</v>
      </c>
      <c r="F2" s="44" t="s">
        <v>156</v>
      </c>
      <c r="G2" s="44" t="s">
        <v>157</v>
      </c>
      <c r="H2" s="44" t="s">
        <v>158</v>
      </c>
    </row>
    <row r="3" customFormat="false" ht="39.75" hidden="false" customHeight="true" outlineLevel="0" collapsed="false">
      <c r="A3" s="45" t="n">
        <v>1</v>
      </c>
      <c r="B3" s="46" t="s">
        <v>159</v>
      </c>
      <c r="C3" s="45" t="s">
        <v>160</v>
      </c>
      <c r="D3" s="46" t="s">
        <v>161</v>
      </c>
      <c r="E3" s="45" t="n">
        <f aca="false">COUNTIF(Raw_Data!A:A,Raw_Data!A2)-1</f>
        <v>0</v>
      </c>
      <c r="F3" s="46" t="s">
        <v>162</v>
      </c>
      <c r="G3" s="47" t="b">
        <f aca="false">COUNTIF(A:A,A2)&gt;1</f>
        <v>0</v>
      </c>
      <c r="H3" s="48" t="s">
        <v>163</v>
      </c>
    </row>
    <row r="4" customFormat="false" ht="39.75" hidden="false" customHeight="true" outlineLevel="0" collapsed="false">
      <c r="A4" s="49" t="n">
        <v>2</v>
      </c>
      <c r="B4" s="5" t="s">
        <v>164</v>
      </c>
      <c r="C4" s="49" t="s">
        <v>165</v>
      </c>
      <c r="D4" s="5" t="s">
        <v>166</v>
      </c>
      <c r="E4" s="49" t="n">
        <f aca="false">COUNTBLANK(Raw_Data!I2:I201)</f>
        <v>0</v>
      </c>
      <c r="F4" s="5" t="s">
        <v>167</v>
      </c>
      <c r="G4" s="5" t="str">
        <f aca="false">IF(I2="","Unknown",I2)</f>
        <v>Unknown</v>
      </c>
      <c r="H4" s="50" t="s">
        <v>163</v>
      </c>
    </row>
    <row r="5" customFormat="false" ht="39.75" hidden="false" customHeight="true" outlineLevel="0" collapsed="false">
      <c r="A5" s="45" t="n">
        <v>3</v>
      </c>
      <c r="B5" s="46" t="s">
        <v>168</v>
      </c>
      <c r="C5" s="45" t="s">
        <v>169</v>
      </c>
      <c r="D5" s="46" t="s">
        <v>170</v>
      </c>
      <c r="E5" s="45" t="n">
        <f aca="false">COUNTIF(Raw_Data!J2:J201,"&gt;8")</f>
        <v>0</v>
      </c>
      <c r="F5" s="46" t="s">
        <v>171</v>
      </c>
      <c r="G5" s="46" t="n">
        <f aca="false">MIN(J2,8)</f>
        <v>8</v>
      </c>
      <c r="H5" s="48" t="s">
        <v>163</v>
      </c>
    </row>
    <row r="6" customFormat="false" ht="39.75" hidden="false" customHeight="true" outlineLevel="0" collapsed="false">
      <c r="A6" s="49" t="n">
        <v>4</v>
      </c>
      <c r="B6" s="5" t="s">
        <v>172</v>
      </c>
      <c r="C6" s="49" t="s">
        <v>173</v>
      </c>
      <c r="D6" s="5" t="s">
        <v>174</v>
      </c>
      <c r="E6" s="49" t="n">
        <f aca="false">COUNTIFS(Raw_Data!N2:N201,"&lt;1")+COUNTIFS(Raw_Data!N2:N201,"&gt;5")</f>
        <v>0</v>
      </c>
      <c r="F6" s="5" t="s">
        <v>175</v>
      </c>
      <c r="G6" s="51" t="b">
        <f aca="false">AND(N2&gt;=1,N2&lt;=5)</f>
        <v>0</v>
      </c>
      <c r="H6" s="50" t="s">
        <v>163</v>
      </c>
    </row>
    <row r="7" customFormat="false" ht="39.75" hidden="false" customHeight="true" outlineLevel="0" collapsed="false">
      <c r="A7" s="45" t="n">
        <v>5</v>
      </c>
      <c r="B7" s="46" t="s">
        <v>176</v>
      </c>
      <c r="C7" s="45" t="s">
        <v>90</v>
      </c>
      <c r="D7" s="46" t="s">
        <v>177</v>
      </c>
      <c r="E7" s="45" t="n">
        <f aca="false">SUMPRODUCT((EXACT(Raw_Data!D2:D201,UPPER(Raw_Data!D2:D201)))*1)</f>
        <v>0</v>
      </c>
      <c r="F7" s="46" t="s">
        <v>178</v>
      </c>
      <c r="G7" s="46" t="str">
        <f aca="false">PROPER(D2)</f>
        <v>Issue Found</v>
      </c>
      <c r="H7" s="48" t="s">
        <v>163</v>
      </c>
    </row>
    <row r="8" customFormat="false" ht="39.75" hidden="false" customHeight="true" outlineLevel="0" collapsed="false">
      <c r="A8" s="49" t="n">
        <v>6</v>
      </c>
      <c r="B8" s="5" t="s">
        <v>179</v>
      </c>
      <c r="C8" s="49" t="s">
        <v>180</v>
      </c>
      <c r="D8" s="5" t="s">
        <v>181</v>
      </c>
      <c r="E8" s="49" t="n">
        <f aca="false">COUNTIFS(Raw_Data!L2:L201,"&lt;40")+COUNTIFS(Raw_Data!L2:L201,"&gt;100")</f>
        <v>0</v>
      </c>
      <c r="F8" s="5" t="s">
        <v>182</v>
      </c>
      <c r="G8" s="5" t="str">
        <f aca="false">IF(OR(L2&lt;40,L2&gt;100),"Outlier","OK")</f>
        <v>Outlier</v>
      </c>
      <c r="H8" s="50" t="s">
        <v>163</v>
      </c>
    </row>
    <row r="9" customFormat="false" ht="39.75" hidden="false" customHeight="true" outlineLevel="0" collapsed="false">
      <c r="A9" s="45" t="n">
        <v>7</v>
      </c>
      <c r="B9" s="46" t="s">
        <v>183</v>
      </c>
      <c r="C9" s="45" t="s">
        <v>184</v>
      </c>
      <c r="D9" s="46" t="s">
        <v>185</v>
      </c>
      <c r="E9" s="45" t="n">
        <f aca="false">COUNTIF(Raw_Data!H2:H201,"&lt;&gt;Urban")-COUNTIF(Raw_Data!H2:H201,"Semi-Urban")-COUNTIF(Raw_Data!H2:H201,"Rural")</f>
        <v>0</v>
      </c>
      <c r="F9" s="46" t="s">
        <v>186</v>
      </c>
      <c r="G9" s="46" t="str">
        <f aca="false">IF(H2="urban","Urban",H2)</f>
        <v>Status</v>
      </c>
      <c r="H9" s="48" t="s">
        <v>163</v>
      </c>
    </row>
    <row r="10" customFormat="false" ht="39.75" hidden="false" customHeight="true" outlineLevel="0" collapsed="false">
      <c r="A10" s="49" t="n">
        <v>8</v>
      </c>
      <c r="B10" s="5" t="s">
        <v>187</v>
      </c>
      <c r="C10" s="49" t="s">
        <v>188</v>
      </c>
      <c r="D10" s="5" t="s">
        <v>189</v>
      </c>
      <c r="E10" s="49" t="n">
        <f aca="false">COUNTIFS(Raw_Data!O2:O201,"Free",Raw_Data!P2:P201,"&gt;0")</f>
        <v>0</v>
      </c>
      <c r="F10" s="5" t="s">
        <v>190</v>
      </c>
      <c r="G10" s="5" t="n">
        <f aca="false">IF(O2="Free",0,P2)</f>
        <v>0</v>
      </c>
      <c r="H10" s="50" t="s">
        <v>163</v>
      </c>
    </row>
    <row r="11" customFormat="false" ht="39.75" hidden="false" customHeight="true" outlineLevel="0" collapsed="false">
      <c r="A11" s="45" t="n">
        <v>9</v>
      </c>
      <c r="B11" s="46" t="s">
        <v>191</v>
      </c>
      <c r="C11" s="45" t="s">
        <v>87</v>
      </c>
      <c r="D11" s="46" t="s">
        <v>192</v>
      </c>
      <c r="E11" s="45" t="n">
        <f aca="false">COUNTIF(Raw_Data!B2:B201,"&lt;&gt;*-2*")</f>
        <v>0</v>
      </c>
      <c r="F11" s="46" t="s">
        <v>193</v>
      </c>
      <c r="G11" s="46" t="str">
        <f aca="false">TEXT(B2,"mmm-yy")</f>
        <v>Cleaning Step</v>
      </c>
      <c r="H11" s="48" t="s">
        <v>163</v>
      </c>
    </row>
    <row r="12" customFormat="false" ht="39.75" hidden="false" customHeight="true" outlineLevel="0" collapsed="false">
      <c r="A12" s="49" t="n">
        <v>10</v>
      </c>
      <c r="B12" s="5" t="s">
        <v>194</v>
      </c>
      <c r="C12" s="49" t="s">
        <v>195</v>
      </c>
      <c r="D12" s="5" t="s">
        <v>196</v>
      </c>
      <c r="E12" s="49" t="n">
        <f aca="false">SUMPRODUCT((LEN(TRIM(Raw_Data!A2:T201))=0)*1)</f>
        <v>0</v>
      </c>
      <c r="F12" s="5" t="s">
        <v>197</v>
      </c>
      <c r="G12" s="5" t="str">
        <f aca="false">IF(ISBLANK(A2),"MISSING",A2)</f>
        <v>Check #</v>
      </c>
      <c r="H12" s="50" t="s">
        <v>163</v>
      </c>
    </row>
    <row r="14" customFormat="false" ht="15" hidden="false" customHeight="true" outlineLevel="0" collapsed="false">
      <c r="A14" s="23" t="s">
        <v>198</v>
      </c>
      <c r="B14" s="23"/>
      <c r="C14" s="23"/>
      <c r="D14" s="23"/>
      <c r="E14" s="23"/>
      <c r="F14" s="23"/>
      <c r="G14" s="23"/>
      <c r="H14" s="23"/>
    </row>
    <row r="15" customFormat="false" ht="15" hidden="false" customHeight="true" outlineLevel="0" collapsed="false">
      <c r="A15" s="52" t="s">
        <v>199</v>
      </c>
      <c r="B15" s="52"/>
      <c r="C15" s="52"/>
      <c r="D15" s="52"/>
      <c r="E15" s="53" t="n">
        <f aca="false">COUNTA(Raw_Data!A2:A201)</f>
        <v>200</v>
      </c>
      <c r="F15" s="53"/>
      <c r="G15" s="53"/>
      <c r="H15" s="53"/>
    </row>
    <row r="16" customFormat="false" ht="15" hidden="false" customHeight="true" outlineLevel="0" collapsed="false">
      <c r="A16" s="52" t="s">
        <v>200</v>
      </c>
      <c r="B16" s="52"/>
      <c r="C16" s="52"/>
      <c r="D16" s="52"/>
      <c r="E16" s="53" t="n">
        <f aca="false">COUNTA(Raw_Data!A2:A201)-0</f>
        <v>200</v>
      </c>
      <c r="F16" s="53"/>
      <c r="G16" s="53"/>
      <c r="H16" s="53"/>
    </row>
    <row r="17" customFormat="false" ht="15" hidden="false" customHeight="true" outlineLevel="0" collapsed="false">
      <c r="A17" s="52" t="s">
        <v>201</v>
      </c>
      <c r="B17" s="52"/>
      <c r="C17" s="52"/>
      <c r="D17" s="52"/>
      <c r="E17" s="53" t="n">
        <v>20</v>
      </c>
      <c r="F17" s="53"/>
      <c r="G17" s="53"/>
      <c r="H17" s="53"/>
    </row>
    <row r="18" customFormat="false" ht="15" hidden="false" customHeight="true" outlineLevel="0" collapsed="false">
      <c r="A18" s="52" t="s">
        <v>202</v>
      </c>
      <c r="B18" s="52"/>
      <c r="C18" s="52"/>
      <c r="D18" s="52"/>
      <c r="E18" s="53" t="n">
        <v>10</v>
      </c>
      <c r="F18" s="53"/>
      <c r="G18" s="53"/>
      <c r="H18" s="53"/>
    </row>
    <row r="19" customFormat="false" ht="15" hidden="false" customHeight="true" outlineLevel="0" collapsed="false">
      <c r="A19" s="52" t="s">
        <v>203</v>
      </c>
      <c r="B19" s="52"/>
      <c r="C19" s="52"/>
      <c r="D19" s="52"/>
      <c r="E19" s="53" t="s">
        <v>204</v>
      </c>
      <c r="F19" s="53"/>
      <c r="G19" s="53"/>
      <c r="H19" s="53"/>
    </row>
  </sheetData>
  <mergeCells count="12">
    <mergeCell ref="A1:H1"/>
    <mergeCell ref="A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D19"/>
    <mergeCell ref="E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9" min="8" style="1" width="13"/>
    <col collapsed="false" customWidth="true" hidden="false" outlineLevel="0" max="11" min="10" style="1" width="16"/>
    <col collapsed="false" customWidth="true" hidden="false" outlineLevel="0" max="12" min="12" style="1" width="17"/>
    <col collapsed="false" customWidth="true" hidden="false" outlineLevel="0" max="13" min="13" style="1" width="16"/>
    <col collapsed="false" customWidth="true" hidden="false" outlineLevel="0" max="17" min="14" style="1" width="17"/>
    <col collapsed="false" customWidth="true" hidden="false" outlineLevel="0" max="18" min="18" style="1" width="18"/>
    <col collapsed="false" customWidth="true" hidden="false" outlineLevel="0" max="19" min="19" style="1" width="19"/>
    <col collapsed="false" customWidth="true" hidden="false" outlineLevel="0" max="20" min="20" style="1" width="12"/>
  </cols>
  <sheetData>
    <row r="1" customFormat="false" ht="30" hidden="false" customHeight="true" outlineLevel="0" collapsed="false">
      <c r="A1" s="54" t="s">
        <v>160</v>
      </c>
      <c r="B1" s="54" t="s">
        <v>87</v>
      </c>
      <c r="C1" s="54" t="s">
        <v>205</v>
      </c>
      <c r="D1" s="54" t="s">
        <v>90</v>
      </c>
      <c r="E1" s="54" t="s">
        <v>206</v>
      </c>
      <c r="F1" s="54" t="s">
        <v>207</v>
      </c>
      <c r="G1" s="54" t="s">
        <v>208</v>
      </c>
      <c r="H1" s="54" t="s">
        <v>184</v>
      </c>
      <c r="I1" s="54" t="s">
        <v>165</v>
      </c>
      <c r="J1" s="54" t="s">
        <v>169</v>
      </c>
      <c r="K1" s="54" t="s">
        <v>209</v>
      </c>
      <c r="L1" s="54" t="s">
        <v>180</v>
      </c>
      <c r="M1" s="54" t="s">
        <v>210</v>
      </c>
      <c r="N1" s="54" t="s">
        <v>173</v>
      </c>
      <c r="O1" s="54" t="s">
        <v>211</v>
      </c>
      <c r="P1" s="54" t="s">
        <v>188</v>
      </c>
      <c r="Q1" s="54" t="s">
        <v>212</v>
      </c>
      <c r="R1" s="54" t="s">
        <v>213</v>
      </c>
      <c r="S1" s="54" t="s">
        <v>214</v>
      </c>
      <c r="T1" s="54" t="s">
        <v>158</v>
      </c>
    </row>
    <row r="2" customFormat="false" ht="15" hidden="false" customHeight="true" outlineLevel="0" collapsed="false">
      <c r="A2" s="25" t="n">
        <v>1001</v>
      </c>
      <c r="B2" s="25" t="s">
        <v>98</v>
      </c>
      <c r="C2" s="25" t="s">
        <v>215</v>
      </c>
      <c r="D2" s="25" t="s">
        <v>93</v>
      </c>
      <c r="E2" s="25" t="s">
        <v>216</v>
      </c>
      <c r="F2" s="25" t="s">
        <v>217</v>
      </c>
      <c r="G2" s="25" t="s">
        <v>218</v>
      </c>
      <c r="H2" s="25" t="s">
        <v>148</v>
      </c>
      <c r="I2" s="25" t="s">
        <v>80</v>
      </c>
      <c r="J2" s="25" t="n">
        <v>4.2</v>
      </c>
      <c r="K2" s="25" t="n">
        <v>39</v>
      </c>
      <c r="L2" s="55" t="n">
        <v>58.7</v>
      </c>
      <c r="M2" s="25" t="n">
        <v>2.4</v>
      </c>
      <c r="N2" s="55" t="n">
        <v>3.1</v>
      </c>
      <c r="O2" s="25" t="s">
        <v>219</v>
      </c>
      <c r="P2" s="25" t="n">
        <v>0</v>
      </c>
      <c r="Q2" s="25" t="n">
        <v>18.1</v>
      </c>
      <c r="R2" s="25" t="n">
        <v>83.5</v>
      </c>
      <c r="S2" s="25" t="str">
        <f aca="false">IF(L2&gt;=90,"Top Performer",IF(L2&gt;=75,"High Performer",IF(L2&gt;=60,"Average","Needs Improvement")))</f>
        <v>Needs Improvement</v>
      </c>
      <c r="T2" s="25" t="str">
        <f aca="false">IF(J2&gt;=4,"Active","Low Usage")</f>
        <v>Active</v>
      </c>
    </row>
    <row r="3" customFormat="false" ht="15" hidden="false" customHeight="true" outlineLevel="0" collapsed="false">
      <c r="A3" s="56" t="n">
        <v>1002</v>
      </c>
      <c r="B3" s="56" t="s">
        <v>98</v>
      </c>
      <c r="C3" s="56" t="s">
        <v>220</v>
      </c>
      <c r="D3" s="56" t="s">
        <v>95</v>
      </c>
      <c r="E3" s="56" t="s">
        <v>216</v>
      </c>
      <c r="F3" s="56" t="s">
        <v>221</v>
      </c>
      <c r="G3" s="56" t="s">
        <v>222</v>
      </c>
      <c r="H3" s="56" t="s">
        <v>148</v>
      </c>
      <c r="I3" s="56" t="s">
        <v>84</v>
      </c>
      <c r="J3" s="56" t="n">
        <v>5</v>
      </c>
      <c r="K3" s="56" t="n">
        <v>5</v>
      </c>
      <c r="L3" s="56" t="n">
        <v>87.6</v>
      </c>
      <c r="M3" s="56" t="n">
        <v>2.3</v>
      </c>
      <c r="N3" s="56" t="n">
        <v>3.8</v>
      </c>
      <c r="O3" s="56" t="s">
        <v>223</v>
      </c>
      <c r="P3" s="56" t="n">
        <v>20</v>
      </c>
      <c r="Q3" s="56" t="n">
        <v>17.5</v>
      </c>
      <c r="R3" s="56" t="n">
        <v>89.8</v>
      </c>
      <c r="S3" s="56" t="str">
        <f aca="false">IF(L3&gt;=90,"Top Performer",IF(L3&gt;=75,"High Performer",IF(L3&gt;=60,"Average","Needs Improvement")))</f>
        <v>High Performer</v>
      </c>
      <c r="T3" s="56" t="str">
        <f aca="false">IF(J3&gt;=4,"Active","Low Usage")</f>
        <v>Active</v>
      </c>
    </row>
    <row r="4" customFormat="false" ht="15" hidden="false" customHeight="true" outlineLevel="0" collapsed="false">
      <c r="A4" s="25" t="n">
        <v>1003</v>
      </c>
      <c r="B4" s="25" t="s">
        <v>110</v>
      </c>
      <c r="C4" s="25" t="s">
        <v>224</v>
      </c>
      <c r="D4" s="25" t="s">
        <v>93</v>
      </c>
      <c r="E4" s="25" t="s">
        <v>225</v>
      </c>
      <c r="F4" s="25" t="s">
        <v>226</v>
      </c>
      <c r="G4" s="25" t="s">
        <v>227</v>
      </c>
      <c r="H4" s="25" t="s">
        <v>148</v>
      </c>
      <c r="I4" s="25" t="s">
        <v>80</v>
      </c>
      <c r="J4" s="25" t="n">
        <v>4.9</v>
      </c>
      <c r="K4" s="25" t="n">
        <v>34</v>
      </c>
      <c r="L4" s="55" t="n">
        <v>78.1</v>
      </c>
      <c r="M4" s="25" t="n">
        <v>3.9</v>
      </c>
      <c r="N4" s="55" t="n">
        <v>3.8</v>
      </c>
      <c r="O4" s="25" t="s">
        <v>228</v>
      </c>
      <c r="P4" s="25" t="n">
        <v>52</v>
      </c>
      <c r="Q4" s="25" t="n">
        <v>39</v>
      </c>
      <c r="R4" s="25" t="n">
        <v>84.1</v>
      </c>
      <c r="S4" s="25" t="str">
        <f aca="false">IF(L4&gt;=90,"Top Performer",IF(L4&gt;=75,"High Performer",IF(L4&gt;=60,"Average","Needs Improvement")))</f>
        <v>High Performer</v>
      </c>
      <c r="T4" s="25" t="str">
        <f aca="false">IF(J4&gt;=4,"Active","Low Usage")</f>
        <v>Active</v>
      </c>
    </row>
    <row r="5" customFormat="false" ht="15" hidden="false" customHeight="true" outlineLevel="0" collapsed="false">
      <c r="A5" s="56" t="n">
        <v>1004</v>
      </c>
      <c r="B5" s="56" t="s">
        <v>107</v>
      </c>
      <c r="C5" s="56" t="s">
        <v>229</v>
      </c>
      <c r="D5" s="56" t="s">
        <v>101</v>
      </c>
      <c r="E5" s="56" t="s">
        <v>230</v>
      </c>
      <c r="F5" s="56" t="s">
        <v>226</v>
      </c>
      <c r="G5" s="56" t="s">
        <v>231</v>
      </c>
      <c r="H5" s="56" t="s">
        <v>148</v>
      </c>
      <c r="I5" s="56" t="s">
        <v>82</v>
      </c>
      <c r="J5" s="56" t="n">
        <v>5.9</v>
      </c>
      <c r="K5" s="56" t="n">
        <v>19</v>
      </c>
      <c r="L5" s="56" t="n">
        <v>92.3</v>
      </c>
      <c r="M5" s="56" t="n">
        <v>3.3</v>
      </c>
      <c r="N5" s="56" t="n">
        <v>3.9</v>
      </c>
      <c r="O5" s="56" t="s">
        <v>223</v>
      </c>
      <c r="P5" s="56" t="n">
        <v>20</v>
      </c>
      <c r="Q5" s="56" t="n">
        <v>23</v>
      </c>
      <c r="R5" s="56" t="n">
        <v>68.2</v>
      </c>
      <c r="S5" s="56" t="str">
        <f aca="false">IF(L5&gt;=90,"Top Performer",IF(L5&gt;=75,"High Performer",IF(L5&gt;=60,"Average","Needs Improvement")))</f>
        <v>Top Performer</v>
      </c>
      <c r="T5" s="56" t="str">
        <f aca="false">IF(J5&gt;=4,"Active","Low Usage")</f>
        <v>Active</v>
      </c>
    </row>
    <row r="6" customFormat="false" ht="15" hidden="false" customHeight="true" outlineLevel="0" collapsed="false">
      <c r="A6" s="25" t="n">
        <v>1005</v>
      </c>
      <c r="B6" s="25" t="s">
        <v>96</v>
      </c>
      <c r="C6" s="25" t="s">
        <v>232</v>
      </c>
      <c r="D6" s="25" t="s">
        <v>93</v>
      </c>
      <c r="E6" s="25" t="s">
        <v>233</v>
      </c>
      <c r="F6" s="25" t="s">
        <v>234</v>
      </c>
      <c r="G6" s="25" t="s">
        <v>218</v>
      </c>
      <c r="H6" s="25" t="s">
        <v>148</v>
      </c>
      <c r="I6" s="25" t="s">
        <v>82</v>
      </c>
      <c r="J6" s="25" t="n">
        <v>2</v>
      </c>
      <c r="K6" s="25" t="n">
        <v>40</v>
      </c>
      <c r="L6" s="55" t="n">
        <v>64.4</v>
      </c>
      <c r="M6" s="25" t="n">
        <v>1.1</v>
      </c>
      <c r="N6" s="55" t="n">
        <v>4.5</v>
      </c>
      <c r="O6" s="25" t="s">
        <v>219</v>
      </c>
      <c r="P6" s="25" t="n">
        <v>0</v>
      </c>
      <c r="Q6" s="25" t="n">
        <v>18</v>
      </c>
      <c r="R6" s="25" t="n">
        <v>61.3</v>
      </c>
      <c r="S6" s="25" t="str">
        <f aca="false">IF(L6&gt;=90,"Top Performer",IF(L6&gt;=75,"High Performer",IF(L6&gt;=60,"Average","Needs Improvement")))</f>
        <v>Average</v>
      </c>
      <c r="T6" s="25" t="str">
        <f aca="false">IF(J6&gt;=4,"Active","Low Usage")</f>
        <v>Low Usage</v>
      </c>
    </row>
    <row r="7" customFormat="false" ht="15" hidden="false" customHeight="true" outlineLevel="0" collapsed="false">
      <c r="A7" s="56" t="n">
        <v>1006</v>
      </c>
      <c r="B7" s="56" t="s">
        <v>111</v>
      </c>
      <c r="C7" s="56" t="s">
        <v>235</v>
      </c>
      <c r="D7" s="56" t="s">
        <v>99</v>
      </c>
      <c r="E7" s="56" t="s">
        <v>236</v>
      </c>
      <c r="F7" s="56" t="s">
        <v>226</v>
      </c>
      <c r="G7" s="56" t="s">
        <v>218</v>
      </c>
      <c r="H7" s="56" t="s">
        <v>148</v>
      </c>
      <c r="I7" s="56" t="s">
        <v>82</v>
      </c>
      <c r="J7" s="56" t="n">
        <v>1.7</v>
      </c>
      <c r="K7" s="56" t="n">
        <v>36</v>
      </c>
      <c r="L7" s="56" t="n">
        <v>72</v>
      </c>
      <c r="M7" s="56" t="n">
        <v>1.3</v>
      </c>
      <c r="N7" s="56" t="n">
        <v>3.9</v>
      </c>
      <c r="O7" s="56" t="s">
        <v>223</v>
      </c>
      <c r="P7" s="56" t="n">
        <v>20</v>
      </c>
      <c r="Q7" s="56" t="n">
        <v>18.6</v>
      </c>
      <c r="R7" s="56" t="n">
        <v>81.9</v>
      </c>
      <c r="S7" s="56" t="str">
        <f aca="false">IF(L7&gt;=90,"Top Performer",IF(L7&gt;=75,"High Performer",IF(L7&gt;=60,"Average","Needs Improvement")))</f>
        <v>Average</v>
      </c>
      <c r="T7" s="56" t="str">
        <f aca="false">IF(J7&gt;=4,"Active","Low Usage")</f>
        <v>Low Usage</v>
      </c>
    </row>
    <row r="8" customFormat="false" ht="15" hidden="false" customHeight="true" outlineLevel="0" collapsed="false">
      <c r="A8" s="25" t="n">
        <v>1007</v>
      </c>
      <c r="B8" s="25" t="s">
        <v>102</v>
      </c>
      <c r="C8" s="25" t="s">
        <v>237</v>
      </c>
      <c r="D8" s="25" t="s">
        <v>101</v>
      </c>
      <c r="E8" s="25" t="s">
        <v>225</v>
      </c>
      <c r="F8" s="25" t="s">
        <v>221</v>
      </c>
      <c r="G8" s="25" t="s">
        <v>222</v>
      </c>
      <c r="H8" s="25" t="s">
        <v>148</v>
      </c>
      <c r="I8" s="25" t="s">
        <v>82</v>
      </c>
      <c r="J8" s="25" t="n">
        <v>3.3</v>
      </c>
      <c r="K8" s="25" t="n">
        <v>10</v>
      </c>
      <c r="L8" s="55" t="n">
        <v>87.5</v>
      </c>
      <c r="M8" s="25" t="n">
        <v>2.5</v>
      </c>
      <c r="N8" s="55" t="n">
        <v>3.3</v>
      </c>
      <c r="O8" s="25" t="s">
        <v>219</v>
      </c>
      <c r="P8" s="25" t="n">
        <v>0</v>
      </c>
      <c r="Q8" s="25" t="n">
        <v>37.7</v>
      </c>
      <c r="R8" s="25" t="n">
        <v>76.5</v>
      </c>
      <c r="S8" s="25" t="str">
        <f aca="false">IF(L8&gt;=90,"Top Performer",IF(L8&gt;=75,"High Performer",IF(L8&gt;=60,"Average","Needs Improvement")))</f>
        <v>High Performer</v>
      </c>
      <c r="T8" s="25" t="str">
        <f aca="false">IF(J8&gt;=4,"Active","Low Usage")</f>
        <v>Low Usage</v>
      </c>
    </row>
    <row r="9" customFormat="false" ht="15" hidden="false" customHeight="true" outlineLevel="0" collapsed="false">
      <c r="A9" s="56" t="n">
        <v>1008</v>
      </c>
      <c r="B9" s="56" t="s">
        <v>105</v>
      </c>
      <c r="C9" s="56" t="s">
        <v>238</v>
      </c>
      <c r="D9" s="56" t="s">
        <v>99</v>
      </c>
      <c r="E9" s="56" t="s">
        <v>225</v>
      </c>
      <c r="F9" s="56" t="s">
        <v>221</v>
      </c>
      <c r="G9" s="56" t="s">
        <v>239</v>
      </c>
      <c r="H9" s="56" t="s">
        <v>149</v>
      </c>
      <c r="I9" s="56" t="s">
        <v>80</v>
      </c>
      <c r="J9" s="56" t="n">
        <v>4.2</v>
      </c>
      <c r="K9" s="56" t="n">
        <v>12</v>
      </c>
      <c r="L9" s="56" t="n">
        <v>84.3</v>
      </c>
      <c r="M9" s="56" t="n">
        <v>2.6</v>
      </c>
      <c r="N9" s="56" t="n">
        <v>3.5</v>
      </c>
      <c r="O9" s="56" t="s">
        <v>228</v>
      </c>
      <c r="P9" s="56" t="n">
        <v>53</v>
      </c>
      <c r="Q9" s="56" t="n">
        <v>13.9</v>
      </c>
      <c r="R9" s="56" t="n">
        <v>77</v>
      </c>
      <c r="S9" s="56" t="str">
        <f aca="false">IF(L9&gt;=90,"Top Performer",IF(L9&gt;=75,"High Performer",IF(L9&gt;=60,"Average","Needs Improvement")))</f>
        <v>High Performer</v>
      </c>
      <c r="T9" s="56" t="str">
        <f aca="false">IF(J9&gt;=4,"Active","Low Usage")</f>
        <v>Active</v>
      </c>
    </row>
    <row r="10" customFormat="false" ht="15" hidden="false" customHeight="true" outlineLevel="0" collapsed="false">
      <c r="A10" s="25" t="n">
        <v>1009</v>
      </c>
      <c r="B10" s="25" t="s">
        <v>105</v>
      </c>
      <c r="C10" s="25" t="s">
        <v>240</v>
      </c>
      <c r="D10" s="25" t="s">
        <v>93</v>
      </c>
      <c r="E10" s="25" t="s">
        <v>216</v>
      </c>
      <c r="F10" s="25" t="s">
        <v>217</v>
      </c>
      <c r="G10" s="25" t="s">
        <v>241</v>
      </c>
      <c r="H10" s="25" t="s">
        <v>148</v>
      </c>
      <c r="I10" s="25" t="s">
        <v>83</v>
      </c>
      <c r="J10" s="25" t="n">
        <v>5.1</v>
      </c>
      <c r="K10" s="25" t="n">
        <v>37</v>
      </c>
      <c r="L10" s="55" t="n">
        <v>81.2</v>
      </c>
      <c r="M10" s="25" t="n">
        <v>2.4</v>
      </c>
      <c r="N10" s="55" t="n">
        <v>4.5</v>
      </c>
      <c r="O10" s="25" t="s">
        <v>228</v>
      </c>
      <c r="P10" s="25" t="n">
        <v>48</v>
      </c>
      <c r="Q10" s="25" t="n">
        <v>31</v>
      </c>
      <c r="R10" s="25" t="n">
        <v>79.1</v>
      </c>
      <c r="S10" s="25" t="str">
        <f aca="false">IF(L10&gt;=90,"Top Performer",IF(L10&gt;=75,"High Performer",IF(L10&gt;=60,"Average","Needs Improvement")))</f>
        <v>High Performer</v>
      </c>
      <c r="T10" s="25" t="str">
        <f aca="false">IF(J10&gt;=4,"Active","Low Usage")</f>
        <v>Active</v>
      </c>
    </row>
    <row r="11" customFormat="false" ht="15" hidden="false" customHeight="true" outlineLevel="0" collapsed="false">
      <c r="A11" s="56" t="n">
        <v>1010</v>
      </c>
      <c r="B11" s="56" t="s">
        <v>92</v>
      </c>
      <c r="C11" s="56" t="s">
        <v>242</v>
      </c>
      <c r="D11" s="56" t="s">
        <v>97</v>
      </c>
      <c r="E11" s="56" t="s">
        <v>243</v>
      </c>
      <c r="F11" s="56" t="s">
        <v>217</v>
      </c>
      <c r="G11" s="56" t="s">
        <v>218</v>
      </c>
      <c r="H11" s="56" t="s">
        <v>148</v>
      </c>
      <c r="I11" s="56" t="s">
        <v>80</v>
      </c>
      <c r="J11" s="56" t="n">
        <v>1</v>
      </c>
      <c r="K11" s="56" t="n">
        <v>36</v>
      </c>
      <c r="L11" s="56" t="n">
        <v>90.1</v>
      </c>
      <c r="M11" s="56" t="n">
        <v>0.8</v>
      </c>
      <c r="N11" s="56" t="n">
        <v>4.1</v>
      </c>
      <c r="O11" s="56" t="s">
        <v>219</v>
      </c>
      <c r="P11" s="56" t="n">
        <v>0</v>
      </c>
      <c r="Q11" s="56" t="n">
        <v>14.5</v>
      </c>
      <c r="R11" s="56" t="n">
        <v>78.5</v>
      </c>
      <c r="S11" s="56" t="str">
        <f aca="false">IF(L11&gt;=90,"Top Performer",IF(L11&gt;=75,"High Performer",IF(L11&gt;=60,"Average","Needs Improvement")))</f>
        <v>Top Performer</v>
      </c>
      <c r="T11" s="56" t="str">
        <f aca="false">IF(J11&gt;=4,"Active","Low Usage")</f>
        <v>Low Usage</v>
      </c>
    </row>
    <row r="12" customFormat="false" ht="15" hidden="false" customHeight="true" outlineLevel="0" collapsed="false">
      <c r="A12" s="25" t="n">
        <v>1011</v>
      </c>
      <c r="B12" s="25" t="s">
        <v>98</v>
      </c>
      <c r="C12" s="25" t="s">
        <v>244</v>
      </c>
      <c r="D12" s="25" t="s">
        <v>95</v>
      </c>
      <c r="E12" s="25" t="s">
        <v>236</v>
      </c>
      <c r="F12" s="25" t="s">
        <v>221</v>
      </c>
      <c r="G12" s="25" t="s">
        <v>222</v>
      </c>
      <c r="H12" s="25" t="s">
        <v>148</v>
      </c>
      <c r="I12" s="25" t="s">
        <v>84</v>
      </c>
      <c r="J12" s="25" t="n">
        <v>4.4</v>
      </c>
      <c r="K12" s="25" t="n">
        <v>30</v>
      </c>
      <c r="L12" s="55" t="n">
        <v>97.8</v>
      </c>
      <c r="M12" s="25" t="n">
        <v>2.9</v>
      </c>
      <c r="N12" s="55" t="n">
        <v>3.9</v>
      </c>
      <c r="O12" s="25" t="s">
        <v>228</v>
      </c>
      <c r="P12" s="25" t="n">
        <v>55</v>
      </c>
      <c r="Q12" s="25" t="n">
        <v>14.2</v>
      </c>
      <c r="R12" s="25" t="n">
        <v>68.8</v>
      </c>
      <c r="S12" s="25" t="str">
        <f aca="false">IF(L12&gt;=90,"Top Performer",IF(L12&gt;=75,"High Performer",IF(L12&gt;=60,"Average","Needs Improvement")))</f>
        <v>Top Performer</v>
      </c>
      <c r="T12" s="25" t="str">
        <f aca="false">IF(J12&gt;=4,"Active","Low Usage")</f>
        <v>Active</v>
      </c>
    </row>
    <row r="13" customFormat="false" ht="15" hidden="false" customHeight="true" outlineLevel="0" collapsed="false">
      <c r="A13" s="56" t="n">
        <v>1012</v>
      </c>
      <c r="B13" s="56" t="s">
        <v>106</v>
      </c>
      <c r="C13" s="56" t="s">
        <v>245</v>
      </c>
      <c r="D13" s="56" t="s">
        <v>93</v>
      </c>
      <c r="E13" s="56" t="s">
        <v>233</v>
      </c>
      <c r="F13" s="56" t="s">
        <v>221</v>
      </c>
      <c r="G13" s="56" t="s">
        <v>218</v>
      </c>
      <c r="H13" s="56" t="s">
        <v>148</v>
      </c>
      <c r="I13" s="56" t="s">
        <v>82</v>
      </c>
      <c r="J13" s="56" t="n">
        <v>0.9</v>
      </c>
      <c r="K13" s="56" t="n">
        <v>8</v>
      </c>
      <c r="L13" s="56" t="n">
        <v>64.8</v>
      </c>
      <c r="M13" s="56" t="n">
        <v>0.7</v>
      </c>
      <c r="N13" s="56" t="n">
        <v>4.7</v>
      </c>
      <c r="O13" s="56" t="s">
        <v>219</v>
      </c>
      <c r="P13" s="56" t="n">
        <v>0</v>
      </c>
      <c r="Q13" s="56" t="n">
        <v>28</v>
      </c>
      <c r="R13" s="56" t="n">
        <v>70.9</v>
      </c>
      <c r="S13" s="56" t="str">
        <f aca="false">IF(L13&gt;=90,"Top Performer",IF(L13&gt;=75,"High Performer",IF(L13&gt;=60,"Average","Needs Improvement")))</f>
        <v>Average</v>
      </c>
      <c r="T13" s="56" t="str">
        <f aca="false">IF(J13&gt;=4,"Active","Low Usage")</f>
        <v>Low Usage</v>
      </c>
    </row>
    <row r="14" customFormat="false" ht="15" hidden="false" customHeight="true" outlineLevel="0" collapsed="false">
      <c r="A14" s="25" t="n">
        <v>1013</v>
      </c>
      <c r="B14" s="25" t="s">
        <v>98</v>
      </c>
      <c r="C14" s="25" t="s">
        <v>246</v>
      </c>
      <c r="D14" s="25" t="s">
        <v>95</v>
      </c>
      <c r="E14" s="25" t="s">
        <v>233</v>
      </c>
      <c r="F14" s="25" t="s">
        <v>234</v>
      </c>
      <c r="G14" s="25" t="s">
        <v>239</v>
      </c>
      <c r="H14" s="25" t="s">
        <v>149</v>
      </c>
      <c r="I14" s="25" t="s">
        <v>83</v>
      </c>
      <c r="J14" s="25" t="n">
        <v>1.5</v>
      </c>
      <c r="K14" s="25" t="n">
        <v>11</v>
      </c>
      <c r="L14" s="55" t="n">
        <v>83.3</v>
      </c>
      <c r="M14" s="25" t="n">
        <v>0.8</v>
      </c>
      <c r="N14" s="55" t="n">
        <v>3.8</v>
      </c>
      <c r="O14" s="25" t="s">
        <v>228</v>
      </c>
      <c r="P14" s="25" t="n">
        <v>48</v>
      </c>
      <c r="Q14" s="25" t="n">
        <v>33.6</v>
      </c>
      <c r="R14" s="25" t="n">
        <v>98.4</v>
      </c>
      <c r="S14" s="25" t="str">
        <f aca="false">IF(L14&gt;=90,"Top Performer",IF(L14&gt;=75,"High Performer",IF(L14&gt;=60,"Average","Needs Improvement")))</f>
        <v>High Performer</v>
      </c>
      <c r="T14" s="25" t="str">
        <f aca="false">IF(J14&gt;=4,"Active","Low Usage")</f>
        <v>Low Usage</v>
      </c>
    </row>
    <row r="15" customFormat="false" ht="15" hidden="false" customHeight="true" outlineLevel="0" collapsed="false">
      <c r="A15" s="56" t="n">
        <v>1014</v>
      </c>
      <c r="B15" s="56" t="s">
        <v>98</v>
      </c>
      <c r="C15" s="56" t="s">
        <v>247</v>
      </c>
      <c r="D15" s="56" t="s">
        <v>93</v>
      </c>
      <c r="E15" s="56" t="s">
        <v>225</v>
      </c>
      <c r="F15" s="56" t="s">
        <v>217</v>
      </c>
      <c r="G15" s="56" t="s">
        <v>248</v>
      </c>
      <c r="H15" s="56" t="s">
        <v>148</v>
      </c>
      <c r="I15" s="56" t="s">
        <v>80</v>
      </c>
      <c r="J15" s="56" t="n">
        <v>3.4</v>
      </c>
      <c r="K15" s="56" t="n">
        <v>13</v>
      </c>
      <c r="L15" s="56" t="n">
        <v>73.1</v>
      </c>
      <c r="M15" s="56" t="n">
        <v>1.7</v>
      </c>
      <c r="N15" s="56" t="n">
        <v>3.5</v>
      </c>
      <c r="O15" s="56" t="s">
        <v>219</v>
      </c>
      <c r="P15" s="56" t="n">
        <v>0</v>
      </c>
      <c r="Q15" s="56" t="n">
        <v>25.5</v>
      </c>
      <c r="R15" s="56" t="n">
        <v>93.6</v>
      </c>
      <c r="S15" s="56" t="str">
        <f aca="false">IF(L15&gt;=90,"Top Performer",IF(L15&gt;=75,"High Performer",IF(L15&gt;=60,"Average","Needs Improvement")))</f>
        <v>Average</v>
      </c>
      <c r="T15" s="56" t="str">
        <f aca="false">IF(J15&gt;=4,"Active","Low Usage")</f>
        <v>Low Usage</v>
      </c>
    </row>
    <row r="16" customFormat="false" ht="15" hidden="false" customHeight="true" outlineLevel="0" collapsed="false">
      <c r="A16" s="25" t="n">
        <v>1015</v>
      </c>
      <c r="B16" s="25" t="s">
        <v>94</v>
      </c>
      <c r="C16" s="25" t="s">
        <v>237</v>
      </c>
      <c r="D16" s="25" t="s">
        <v>93</v>
      </c>
      <c r="E16" s="25" t="s">
        <v>249</v>
      </c>
      <c r="F16" s="25" t="s">
        <v>221</v>
      </c>
      <c r="G16" s="25" t="s">
        <v>231</v>
      </c>
      <c r="H16" s="25" t="s">
        <v>148</v>
      </c>
      <c r="I16" s="25" t="s">
        <v>84</v>
      </c>
      <c r="J16" s="25" t="n">
        <v>2.7</v>
      </c>
      <c r="K16" s="25" t="n">
        <v>35</v>
      </c>
      <c r="L16" s="55" t="n">
        <v>64.2</v>
      </c>
      <c r="M16" s="25" t="n">
        <v>1.5</v>
      </c>
      <c r="N16" s="55" t="n">
        <v>3.1</v>
      </c>
      <c r="O16" s="25" t="s">
        <v>223</v>
      </c>
      <c r="P16" s="25" t="n">
        <v>18</v>
      </c>
      <c r="Q16" s="25" t="n">
        <v>44.5</v>
      </c>
      <c r="R16" s="25" t="n">
        <v>70.3</v>
      </c>
      <c r="S16" s="25" t="str">
        <f aca="false">IF(L16&gt;=90,"Top Performer",IF(L16&gt;=75,"High Performer",IF(L16&gt;=60,"Average","Needs Improvement")))</f>
        <v>Average</v>
      </c>
      <c r="T16" s="25" t="str">
        <f aca="false">IF(J16&gt;=4,"Active","Low Usage")</f>
        <v>Low Usage</v>
      </c>
    </row>
    <row r="17" customFormat="false" ht="15" hidden="false" customHeight="true" outlineLevel="0" collapsed="false">
      <c r="A17" s="56" t="n">
        <v>1016</v>
      </c>
      <c r="B17" s="56" t="s">
        <v>96</v>
      </c>
      <c r="C17" s="56" t="s">
        <v>250</v>
      </c>
      <c r="D17" s="56" t="s">
        <v>97</v>
      </c>
      <c r="E17" s="56" t="s">
        <v>225</v>
      </c>
      <c r="F17" s="56" t="s">
        <v>221</v>
      </c>
      <c r="G17" s="56" t="s">
        <v>239</v>
      </c>
      <c r="H17" s="56" t="s">
        <v>149</v>
      </c>
      <c r="I17" s="56" t="s">
        <v>83</v>
      </c>
      <c r="J17" s="56" t="n">
        <v>1.7</v>
      </c>
      <c r="K17" s="56" t="n">
        <v>8</v>
      </c>
      <c r="L17" s="56" t="n">
        <v>79.9</v>
      </c>
      <c r="M17" s="56" t="n">
        <v>1</v>
      </c>
      <c r="N17" s="56" t="n">
        <v>4.5</v>
      </c>
      <c r="O17" s="56" t="s">
        <v>219</v>
      </c>
      <c r="P17" s="56" t="n">
        <v>0</v>
      </c>
      <c r="Q17" s="56" t="n">
        <v>11.8</v>
      </c>
      <c r="R17" s="56" t="n">
        <v>78.6</v>
      </c>
      <c r="S17" s="56" t="str">
        <f aca="false">IF(L17&gt;=90,"Top Performer",IF(L17&gt;=75,"High Performer",IF(L17&gt;=60,"Average","Needs Improvement")))</f>
        <v>High Performer</v>
      </c>
      <c r="T17" s="56" t="str">
        <f aca="false">IF(J17&gt;=4,"Active","Low Usage")</f>
        <v>Low Usage</v>
      </c>
    </row>
    <row r="18" customFormat="false" ht="15" hidden="false" customHeight="true" outlineLevel="0" collapsed="false">
      <c r="A18" s="25" t="n">
        <v>1017</v>
      </c>
      <c r="B18" s="25" t="s">
        <v>110</v>
      </c>
      <c r="C18" s="25" t="s">
        <v>251</v>
      </c>
      <c r="D18" s="25" t="s">
        <v>95</v>
      </c>
      <c r="E18" s="25" t="s">
        <v>249</v>
      </c>
      <c r="F18" s="25" t="s">
        <v>221</v>
      </c>
      <c r="G18" s="25" t="s">
        <v>248</v>
      </c>
      <c r="H18" s="25" t="s">
        <v>148</v>
      </c>
      <c r="I18" s="25" t="s">
        <v>84</v>
      </c>
      <c r="J18" s="25" t="n">
        <v>3.8</v>
      </c>
      <c r="K18" s="25" t="n">
        <v>20</v>
      </c>
      <c r="L18" s="55" t="n">
        <v>72.4</v>
      </c>
      <c r="M18" s="25" t="n">
        <v>3</v>
      </c>
      <c r="N18" s="55" t="n">
        <v>4.1</v>
      </c>
      <c r="O18" s="25" t="s">
        <v>228</v>
      </c>
      <c r="P18" s="25" t="n">
        <v>48</v>
      </c>
      <c r="Q18" s="25" t="n">
        <v>31.7</v>
      </c>
      <c r="R18" s="25" t="n">
        <v>76.3</v>
      </c>
      <c r="S18" s="25" t="str">
        <f aca="false">IF(L18&gt;=90,"Top Performer",IF(L18&gt;=75,"High Performer",IF(L18&gt;=60,"Average","Needs Improvement")))</f>
        <v>Average</v>
      </c>
      <c r="T18" s="25" t="str">
        <f aca="false">IF(J18&gt;=4,"Active","Low Usage")</f>
        <v>Low Usage</v>
      </c>
    </row>
    <row r="19" customFormat="false" ht="15" hidden="false" customHeight="true" outlineLevel="0" collapsed="false">
      <c r="A19" s="56" t="n">
        <v>1018</v>
      </c>
      <c r="B19" s="56" t="s">
        <v>98</v>
      </c>
      <c r="C19" s="56" t="s">
        <v>252</v>
      </c>
      <c r="D19" s="56" t="s">
        <v>101</v>
      </c>
      <c r="E19" s="56" t="s">
        <v>233</v>
      </c>
      <c r="F19" s="56" t="s">
        <v>217</v>
      </c>
      <c r="G19" s="56" t="s">
        <v>253</v>
      </c>
      <c r="H19" s="56" t="s">
        <v>148</v>
      </c>
      <c r="I19" s="56" t="s">
        <v>84</v>
      </c>
      <c r="J19" s="56" t="n">
        <v>2</v>
      </c>
      <c r="K19" s="56" t="n">
        <v>13</v>
      </c>
      <c r="L19" s="56" t="n">
        <v>83.9</v>
      </c>
      <c r="M19" s="56" t="n">
        <v>1</v>
      </c>
      <c r="N19" s="56" t="n">
        <v>3.6</v>
      </c>
      <c r="O19" s="56" t="s">
        <v>219</v>
      </c>
      <c r="P19" s="56" t="n">
        <v>0</v>
      </c>
      <c r="Q19" s="56" t="n">
        <v>10.3</v>
      </c>
      <c r="R19" s="56" t="n">
        <v>84.2</v>
      </c>
      <c r="S19" s="56" t="str">
        <f aca="false">IF(L19&gt;=90,"Top Performer",IF(L19&gt;=75,"High Performer",IF(L19&gt;=60,"Average","Needs Improvement")))</f>
        <v>High Performer</v>
      </c>
      <c r="T19" s="56" t="str">
        <f aca="false">IF(J19&gt;=4,"Active","Low Usage")</f>
        <v>Low Usage</v>
      </c>
    </row>
    <row r="20" customFormat="false" ht="15" hidden="false" customHeight="true" outlineLevel="0" collapsed="false">
      <c r="A20" s="25" t="n">
        <v>1019</v>
      </c>
      <c r="B20" s="25" t="s">
        <v>105</v>
      </c>
      <c r="C20" s="25" t="s">
        <v>254</v>
      </c>
      <c r="D20" s="25" t="s">
        <v>93</v>
      </c>
      <c r="E20" s="25" t="s">
        <v>249</v>
      </c>
      <c r="F20" s="25" t="s">
        <v>221</v>
      </c>
      <c r="G20" s="25" t="s">
        <v>218</v>
      </c>
      <c r="H20" s="25" t="s">
        <v>148</v>
      </c>
      <c r="I20" s="25" t="s">
        <v>84</v>
      </c>
      <c r="J20" s="25" t="n">
        <v>5.6</v>
      </c>
      <c r="K20" s="25" t="n">
        <v>9</v>
      </c>
      <c r="L20" s="55" t="n">
        <v>92.8</v>
      </c>
      <c r="M20" s="25" t="n">
        <v>3.1</v>
      </c>
      <c r="N20" s="55" t="n">
        <v>3.3</v>
      </c>
      <c r="O20" s="25" t="s">
        <v>228</v>
      </c>
      <c r="P20" s="25" t="n">
        <v>52</v>
      </c>
      <c r="Q20" s="25" t="n">
        <v>31.4</v>
      </c>
      <c r="R20" s="25" t="n">
        <v>98.5</v>
      </c>
      <c r="S20" s="25" t="str">
        <f aca="false">IF(L20&gt;=90,"Top Performer",IF(L20&gt;=75,"High Performer",IF(L20&gt;=60,"Average","Needs Improvement")))</f>
        <v>Top Performer</v>
      </c>
      <c r="T20" s="25" t="str">
        <f aca="false">IF(J20&gt;=4,"Active","Low Usage")</f>
        <v>Active</v>
      </c>
    </row>
    <row r="21" customFormat="false" ht="15" hidden="false" customHeight="true" outlineLevel="0" collapsed="false">
      <c r="A21" s="56" t="n">
        <v>1020</v>
      </c>
      <c r="B21" s="56" t="s">
        <v>111</v>
      </c>
      <c r="C21" s="56" t="s">
        <v>255</v>
      </c>
      <c r="D21" s="56" t="s">
        <v>93</v>
      </c>
      <c r="E21" s="56" t="s">
        <v>216</v>
      </c>
      <c r="F21" s="56" t="s">
        <v>221</v>
      </c>
      <c r="G21" s="56" t="s">
        <v>253</v>
      </c>
      <c r="H21" s="56" t="s">
        <v>148</v>
      </c>
      <c r="I21" s="56" t="s">
        <v>84</v>
      </c>
      <c r="J21" s="56" t="n">
        <v>2</v>
      </c>
      <c r="K21" s="56" t="n">
        <v>11</v>
      </c>
      <c r="L21" s="56" t="n">
        <v>86.9</v>
      </c>
      <c r="M21" s="56" t="n">
        <v>0.9</v>
      </c>
      <c r="N21" s="56" t="n">
        <v>3.6</v>
      </c>
      <c r="O21" s="56" t="s">
        <v>219</v>
      </c>
      <c r="P21" s="56" t="n">
        <v>0</v>
      </c>
      <c r="Q21" s="56" t="n">
        <v>35.1</v>
      </c>
      <c r="R21" s="56" t="n">
        <v>67.9</v>
      </c>
      <c r="S21" s="56" t="str">
        <f aca="false">IF(L21&gt;=90,"Top Performer",IF(L21&gt;=75,"High Performer",IF(L21&gt;=60,"Average","Needs Improvement")))</f>
        <v>High Performer</v>
      </c>
      <c r="T21" s="56" t="str">
        <f aca="false">IF(J21&gt;=4,"Active","Low Usage")</f>
        <v>Low Usage</v>
      </c>
    </row>
    <row r="22" customFormat="false" ht="15" hidden="false" customHeight="true" outlineLevel="0" collapsed="false">
      <c r="A22" s="25" t="n">
        <v>1021</v>
      </c>
      <c r="B22" s="25" t="s">
        <v>94</v>
      </c>
      <c r="C22" s="25" t="s">
        <v>256</v>
      </c>
      <c r="D22" s="25" t="s">
        <v>101</v>
      </c>
      <c r="E22" s="25" t="s">
        <v>225</v>
      </c>
      <c r="F22" s="25" t="s">
        <v>217</v>
      </c>
      <c r="G22" s="25" t="s">
        <v>231</v>
      </c>
      <c r="H22" s="25" t="s">
        <v>148</v>
      </c>
      <c r="I22" s="25" t="s">
        <v>82</v>
      </c>
      <c r="J22" s="25" t="n">
        <v>0.7</v>
      </c>
      <c r="K22" s="25" t="n">
        <v>26</v>
      </c>
      <c r="L22" s="55" t="n">
        <v>88.2</v>
      </c>
      <c r="M22" s="25" t="n">
        <v>0.5</v>
      </c>
      <c r="N22" s="55" t="n">
        <v>3.5</v>
      </c>
      <c r="O22" s="25" t="s">
        <v>228</v>
      </c>
      <c r="P22" s="25" t="n">
        <v>55</v>
      </c>
      <c r="Q22" s="25" t="n">
        <v>29.3</v>
      </c>
      <c r="R22" s="25" t="n">
        <v>76.7</v>
      </c>
      <c r="S22" s="25" t="str">
        <f aca="false">IF(L22&gt;=90,"Top Performer",IF(L22&gt;=75,"High Performer",IF(L22&gt;=60,"Average","Needs Improvement")))</f>
        <v>High Performer</v>
      </c>
      <c r="T22" s="25" t="str">
        <f aca="false">IF(J22&gt;=4,"Active","Low Usage")</f>
        <v>Low Usage</v>
      </c>
    </row>
    <row r="23" customFormat="false" ht="15" hidden="false" customHeight="true" outlineLevel="0" collapsed="false">
      <c r="A23" s="56" t="n">
        <v>1022</v>
      </c>
      <c r="B23" s="56" t="s">
        <v>110</v>
      </c>
      <c r="C23" s="56" t="s">
        <v>257</v>
      </c>
      <c r="D23" s="56" t="s">
        <v>93</v>
      </c>
      <c r="E23" s="56" t="s">
        <v>249</v>
      </c>
      <c r="F23" s="56" t="s">
        <v>234</v>
      </c>
      <c r="G23" s="56" t="s">
        <v>231</v>
      </c>
      <c r="H23" s="56" t="s">
        <v>148</v>
      </c>
      <c r="I23" s="56" t="s">
        <v>80</v>
      </c>
      <c r="J23" s="56" t="n">
        <v>2.9</v>
      </c>
      <c r="K23" s="56" t="n">
        <v>7</v>
      </c>
      <c r="L23" s="56" t="n">
        <v>68.3</v>
      </c>
      <c r="M23" s="56" t="n">
        <v>2.2</v>
      </c>
      <c r="N23" s="56" t="n">
        <v>4.6</v>
      </c>
      <c r="O23" s="56" t="s">
        <v>219</v>
      </c>
      <c r="P23" s="56" t="n">
        <v>0</v>
      </c>
      <c r="Q23" s="56" t="n">
        <v>41.5</v>
      </c>
      <c r="R23" s="56" t="n">
        <v>68.2</v>
      </c>
      <c r="S23" s="56" t="str">
        <f aca="false">IF(L23&gt;=90,"Top Performer",IF(L23&gt;=75,"High Performer",IF(L23&gt;=60,"Average","Needs Improvement")))</f>
        <v>Average</v>
      </c>
      <c r="T23" s="56" t="str">
        <f aca="false">IF(J23&gt;=4,"Active","Low Usage")</f>
        <v>Low Usage</v>
      </c>
    </row>
    <row r="24" customFormat="false" ht="15" hidden="false" customHeight="true" outlineLevel="0" collapsed="false">
      <c r="A24" s="25" t="n">
        <v>1023</v>
      </c>
      <c r="B24" s="25" t="s">
        <v>106</v>
      </c>
      <c r="C24" s="25" t="s">
        <v>258</v>
      </c>
      <c r="D24" s="25" t="s">
        <v>93</v>
      </c>
      <c r="E24" s="25" t="s">
        <v>236</v>
      </c>
      <c r="F24" s="25" t="s">
        <v>221</v>
      </c>
      <c r="G24" s="25" t="s">
        <v>222</v>
      </c>
      <c r="H24" s="25" t="s">
        <v>148</v>
      </c>
      <c r="I24" s="25" t="s">
        <v>81</v>
      </c>
      <c r="J24" s="25" t="n">
        <v>5.3</v>
      </c>
      <c r="K24" s="25" t="n">
        <v>16</v>
      </c>
      <c r="L24" s="55" t="n">
        <v>92.9</v>
      </c>
      <c r="M24" s="25" t="n">
        <v>2.2</v>
      </c>
      <c r="N24" s="55" t="n">
        <v>4.5</v>
      </c>
      <c r="O24" s="25" t="s">
        <v>223</v>
      </c>
      <c r="P24" s="25" t="n">
        <v>24</v>
      </c>
      <c r="Q24" s="25" t="n">
        <v>38.1</v>
      </c>
      <c r="R24" s="25" t="n">
        <v>93.7</v>
      </c>
      <c r="S24" s="25" t="str">
        <f aca="false">IF(L24&gt;=90,"Top Performer",IF(L24&gt;=75,"High Performer",IF(L24&gt;=60,"Average","Needs Improvement")))</f>
        <v>Top Performer</v>
      </c>
      <c r="T24" s="25" t="str">
        <f aca="false">IF(J24&gt;=4,"Active","Low Usage")</f>
        <v>Active</v>
      </c>
    </row>
    <row r="25" customFormat="false" ht="15" hidden="false" customHeight="true" outlineLevel="0" collapsed="false">
      <c r="A25" s="56" t="n">
        <v>1024</v>
      </c>
      <c r="B25" s="56" t="s">
        <v>110</v>
      </c>
      <c r="C25" s="56" t="s">
        <v>259</v>
      </c>
      <c r="D25" s="56" t="s">
        <v>97</v>
      </c>
      <c r="E25" s="56" t="s">
        <v>230</v>
      </c>
      <c r="F25" s="56" t="s">
        <v>226</v>
      </c>
      <c r="G25" s="56" t="s">
        <v>222</v>
      </c>
      <c r="H25" s="56" t="s">
        <v>148</v>
      </c>
      <c r="I25" s="56" t="s">
        <v>81</v>
      </c>
      <c r="J25" s="56" t="n">
        <v>1.7</v>
      </c>
      <c r="K25" s="56" t="n">
        <v>34</v>
      </c>
      <c r="L25" s="56" t="n">
        <v>70</v>
      </c>
      <c r="M25" s="56" t="n">
        <v>1.2</v>
      </c>
      <c r="N25" s="56" t="n">
        <v>4.7</v>
      </c>
      <c r="O25" s="56" t="s">
        <v>219</v>
      </c>
      <c r="P25" s="56" t="n">
        <v>0</v>
      </c>
      <c r="Q25" s="56" t="n">
        <v>10.8</v>
      </c>
      <c r="R25" s="56" t="n">
        <v>67.5</v>
      </c>
      <c r="S25" s="56" t="str">
        <f aca="false">IF(L25&gt;=90,"Top Performer",IF(L25&gt;=75,"High Performer",IF(L25&gt;=60,"Average","Needs Improvement")))</f>
        <v>Average</v>
      </c>
      <c r="T25" s="56" t="str">
        <f aca="false">IF(J25&gt;=4,"Active","Low Usage")</f>
        <v>Low Usage</v>
      </c>
    </row>
    <row r="26" customFormat="false" ht="15" hidden="false" customHeight="true" outlineLevel="0" collapsed="false">
      <c r="A26" s="25" t="n">
        <v>1025</v>
      </c>
      <c r="B26" s="25" t="s">
        <v>102</v>
      </c>
      <c r="C26" s="25" t="s">
        <v>260</v>
      </c>
      <c r="D26" s="25" t="s">
        <v>97</v>
      </c>
      <c r="E26" s="25" t="s">
        <v>243</v>
      </c>
      <c r="F26" s="25" t="s">
        <v>226</v>
      </c>
      <c r="G26" s="25" t="s">
        <v>253</v>
      </c>
      <c r="H26" s="25" t="s">
        <v>148</v>
      </c>
      <c r="I26" s="25" t="s">
        <v>82</v>
      </c>
      <c r="J26" s="25" t="n">
        <v>4.2</v>
      </c>
      <c r="K26" s="25" t="n">
        <v>39</v>
      </c>
      <c r="L26" s="55" t="n">
        <v>69.2</v>
      </c>
      <c r="M26" s="25" t="n">
        <v>1.7</v>
      </c>
      <c r="N26" s="55" t="n">
        <v>4.8</v>
      </c>
      <c r="O26" s="25" t="s">
        <v>223</v>
      </c>
      <c r="P26" s="25" t="n">
        <v>20</v>
      </c>
      <c r="Q26" s="25" t="n">
        <v>30.3</v>
      </c>
      <c r="R26" s="25" t="n">
        <v>98.4</v>
      </c>
      <c r="S26" s="25" t="str">
        <f aca="false">IF(L26&gt;=90,"Top Performer",IF(L26&gt;=75,"High Performer",IF(L26&gt;=60,"Average","Needs Improvement")))</f>
        <v>Average</v>
      </c>
      <c r="T26" s="25" t="str">
        <f aca="false">IF(J26&gt;=4,"Active","Low Usage")</f>
        <v>Active</v>
      </c>
    </row>
    <row r="27" customFormat="false" ht="15" hidden="false" customHeight="true" outlineLevel="0" collapsed="false">
      <c r="A27" s="56" t="n">
        <v>1026</v>
      </c>
      <c r="B27" s="56" t="s">
        <v>108</v>
      </c>
      <c r="C27" s="56" t="s">
        <v>261</v>
      </c>
      <c r="D27" s="56" t="s">
        <v>93</v>
      </c>
      <c r="E27" s="56" t="s">
        <v>233</v>
      </c>
      <c r="F27" s="56" t="s">
        <v>236</v>
      </c>
      <c r="G27" s="56" t="s">
        <v>227</v>
      </c>
      <c r="H27" s="56" t="s">
        <v>148</v>
      </c>
      <c r="I27" s="56" t="s">
        <v>80</v>
      </c>
      <c r="J27" s="56" t="n">
        <v>3.8</v>
      </c>
      <c r="K27" s="56" t="n">
        <v>37</v>
      </c>
      <c r="L27" s="56" t="n">
        <v>60</v>
      </c>
      <c r="M27" s="56" t="n">
        <v>2.9</v>
      </c>
      <c r="N27" s="56" t="n">
        <v>3.4</v>
      </c>
      <c r="O27" s="56" t="s">
        <v>219</v>
      </c>
      <c r="P27" s="56" t="n">
        <v>0</v>
      </c>
      <c r="Q27" s="56" t="n">
        <v>34.8</v>
      </c>
      <c r="R27" s="56" t="n">
        <v>60.1</v>
      </c>
      <c r="S27" s="56" t="str">
        <f aca="false">IF(L27&gt;=90,"Top Performer",IF(L27&gt;=75,"High Performer",IF(L27&gt;=60,"Average","Needs Improvement")))</f>
        <v>Average</v>
      </c>
      <c r="T27" s="56" t="str">
        <f aca="false">IF(J27&gt;=4,"Active","Low Usage")</f>
        <v>Low Usage</v>
      </c>
    </row>
    <row r="28" customFormat="false" ht="15" hidden="false" customHeight="true" outlineLevel="0" collapsed="false">
      <c r="A28" s="25" t="n">
        <v>1027</v>
      </c>
      <c r="B28" s="25" t="s">
        <v>107</v>
      </c>
      <c r="C28" s="25" t="s">
        <v>262</v>
      </c>
      <c r="D28" s="25" t="s">
        <v>95</v>
      </c>
      <c r="E28" s="25" t="s">
        <v>236</v>
      </c>
      <c r="F28" s="25" t="s">
        <v>236</v>
      </c>
      <c r="G28" s="25" t="s">
        <v>248</v>
      </c>
      <c r="H28" s="25" t="s">
        <v>148</v>
      </c>
      <c r="I28" s="25" t="s">
        <v>84</v>
      </c>
      <c r="J28" s="25" t="n">
        <v>4.1</v>
      </c>
      <c r="K28" s="25" t="n">
        <v>12</v>
      </c>
      <c r="L28" s="55" t="n">
        <v>85.9</v>
      </c>
      <c r="M28" s="25" t="n">
        <v>2.1</v>
      </c>
      <c r="N28" s="55" t="n">
        <v>3.6</v>
      </c>
      <c r="O28" s="25" t="s">
        <v>223</v>
      </c>
      <c r="P28" s="25" t="n">
        <v>23</v>
      </c>
      <c r="Q28" s="25" t="n">
        <v>24.1</v>
      </c>
      <c r="R28" s="25" t="n">
        <v>71.5</v>
      </c>
      <c r="S28" s="25" t="str">
        <f aca="false">IF(L28&gt;=90,"Top Performer",IF(L28&gt;=75,"High Performer",IF(L28&gt;=60,"Average","Needs Improvement")))</f>
        <v>High Performer</v>
      </c>
      <c r="T28" s="25" t="str">
        <f aca="false">IF(J28&gt;=4,"Active","Low Usage")</f>
        <v>Active</v>
      </c>
    </row>
    <row r="29" customFormat="false" ht="15" hidden="false" customHeight="true" outlineLevel="0" collapsed="false">
      <c r="A29" s="56" t="n">
        <v>1028</v>
      </c>
      <c r="B29" s="56" t="s">
        <v>106</v>
      </c>
      <c r="C29" s="56" t="s">
        <v>263</v>
      </c>
      <c r="D29" s="56" t="s">
        <v>95</v>
      </c>
      <c r="E29" s="56" t="s">
        <v>225</v>
      </c>
      <c r="F29" s="56" t="s">
        <v>236</v>
      </c>
      <c r="G29" s="56" t="s">
        <v>241</v>
      </c>
      <c r="H29" s="56" t="s">
        <v>148</v>
      </c>
      <c r="I29" s="56" t="s">
        <v>81</v>
      </c>
      <c r="J29" s="56" t="n">
        <v>2.7</v>
      </c>
      <c r="K29" s="56" t="n">
        <v>5</v>
      </c>
      <c r="L29" s="56" t="n">
        <v>68.1</v>
      </c>
      <c r="M29" s="56" t="n">
        <v>1.3</v>
      </c>
      <c r="N29" s="56" t="n">
        <v>4.6</v>
      </c>
      <c r="O29" s="56" t="s">
        <v>228</v>
      </c>
      <c r="P29" s="56" t="n">
        <v>53</v>
      </c>
      <c r="Q29" s="56" t="n">
        <v>26.3</v>
      </c>
      <c r="R29" s="56" t="n">
        <v>77.2</v>
      </c>
      <c r="S29" s="56" t="str">
        <f aca="false">IF(L29&gt;=90,"Top Performer",IF(L29&gt;=75,"High Performer",IF(L29&gt;=60,"Average","Needs Improvement")))</f>
        <v>Average</v>
      </c>
      <c r="T29" s="56" t="str">
        <f aca="false">IF(J29&gt;=4,"Active","Low Usage")</f>
        <v>Low Usage</v>
      </c>
    </row>
    <row r="30" customFormat="false" ht="15" hidden="false" customHeight="true" outlineLevel="0" collapsed="false">
      <c r="A30" s="25" t="n">
        <v>1029</v>
      </c>
      <c r="B30" s="25" t="s">
        <v>100</v>
      </c>
      <c r="C30" s="25" t="s">
        <v>264</v>
      </c>
      <c r="D30" s="25" t="s">
        <v>101</v>
      </c>
      <c r="E30" s="25" t="s">
        <v>225</v>
      </c>
      <c r="F30" s="25" t="s">
        <v>234</v>
      </c>
      <c r="G30" s="25" t="s">
        <v>248</v>
      </c>
      <c r="H30" s="25" t="s">
        <v>148</v>
      </c>
      <c r="I30" s="25" t="s">
        <v>81</v>
      </c>
      <c r="J30" s="25" t="n">
        <v>1</v>
      </c>
      <c r="K30" s="25" t="n">
        <v>20</v>
      </c>
      <c r="L30" s="55" t="n">
        <v>83.9</v>
      </c>
      <c r="M30" s="25" t="n">
        <v>0.5</v>
      </c>
      <c r="N30" s="55" t="n">
        <v>3.4</v>
      </c>
      <c r="O30" s="25" t="s">
        <v>219</v>
      </c>
      <c r="P30" s="25" t="n">
        <v>0</v>
      </c>
      <c r="Q30" s="25" t="n">
        <v>11.6</v>
      </c>
      <c r="R30" s="25" t="n">
        <v>98.4</v>
      </c>
      <c r="S30" s="25" t="str">
        <f aca="false">IF(L30&gt;=90,"Top Performer",IF(L30&gt;=75,"High Performer",IF(L30&gt;=60,"Average","Needs Improvement")))</f>
        <v>High Performer</v>
      </c>
      <c r="T30" s="25" t="str">
        <f aca="false">IF(J30&gt;=4,"Active","Low Usage")</f>
        <v>Low Usage</v>
      </c>
    </row>
    <row r="31" customFormat="false" ht="15" hidden="false" customHeight="true" outlineLevel="0" collapsed="false">
      <c r="A31" s="56" t="n">
        <v>1030</v>
      </c>
      <c r="B31" s="56" t="s">
        <v>108</v>
      </c>
      <c r="C31" s="56" t="s">
        <v>265</v>
      </c>
      <c r="D31" s="56" t="s">
        <v>93</v>
      </c>
      <c r="E31" s="56" t="s">
        <v>225</v>
      </c>
      <c r="F31" s="56" t="s">
        <v>236</v>
      </c>
      <c r="G31" s="56" t="s">
        <v>218</v>
      </c>
      <c r="H31" s="56" t="s">
        <v>148</v>
      </c>
      <c r="I31" s="56" t="s">
        <v>84</v>
      </c>
      <c r="J31" s="56" t="n">
        <v>2.7</v>
      </c>
      <c r="K31" s="56" t="n">
        <v>14</v>
      </c>
      <c r="L31" s="56" t="n">
        <v>83.2</v>
      </c>
      <c r="M31" s="56" t="n">
        <v>1.1</v>
      </c>
      <c r="N31" s="56" t="n">
        <v>4.5</v>
      </c>
      <c r="O31" s="56" t="s">
        <v>219</v>
      </c>
      <c r="P31" s="56" t="n">
        <v>0</v>
      </c>
      <c r="Q31" s="56" t="n">
        <v>37.2</v>
      </c>
      <c r="R31" s="56" t="n">
        <v>68.5</v>
      </c>
      <c r="S31" s="56" t="str">
        <f aca="false">IF(L31&gt;=90,"Top Performer",IF(L31&gt;=75,"High Performer",IF(L31&gt;=60,"Average","Needs Improvement")))</f>
        <v>High Performer</v>
      </c>
      <c r="T31" s="56" t="str">
        <f aca="false">IF(J31&gt;=4,"Active","Low Usage")</f>
        <v>Low Usage</v>
      </c>
    </row>
    <row r="32" customFormat="false" ht="15" hidden="false" customHeight="true" outlineLevel="0" collapsed="false">
      <c r="A32" s="25" t="n">
        <v>1031</v>
      </c>
      <c r="B32" s="25" t="s">
        <v>111</v>
      </c>
      <c r="C32" s="25" t="s">
        <v>266</v>
      </c>
      <c r="D32" s="25" t="s">
        <v>99</v>
      </c>
      <c r="E32" s="25" t="s">
        <v>249</v>
      </c>
      <c r="F32" s="25" t="s">
        <v>221</v>
      </c>
      <c r="G32" s="25" t="s">
        <v>218</v>
      </c>
      <c r="H32" s="25" t="s">
        <v>148</v>
      </c>
      <c r="I32" s="25" t="s">
        <v>84</v>
      </c>
      <c r="J32" s="25" t="n">
        <v>1.2</v>
      </c>
      <c r="K32" s="25" t="n">
        <v>34</v>
      </c>
      <c r="L32" s="55" t="n">
        <v>83.7</v>
      </c>
      <c r="M32" s="25" t="n">
        <v>1</v>
      </c>
      <c r="N32" s="55" t="n">
        <v>4.2</v>
      </c>
      <c r="O32" s="25" t="s">
        <v>223</v>
      </c>
      <c r="P32" s="25" t="n">
        <v>24</v>
      </c>
      <c r="Q32" s="25" t="n">
        <v>39.1</v>
      </c>
      <c r="R32" s="25" t="n">
        <v>81.4</v>
      </c>
      <c r="S32" s="25" t="str">
        <f aca="false">IF(L32&gt;=90,"Top Performer",IF(L32&gt;=75,"High Performer",IF(L32&gt;=60,"Average","Needs Improvement")))</f>
        <v>High Performer</v>
      </c>
      <c r="T32" s="25" t="str">
        <f aca="false">IF(J32&gt;=4,"Active","Low Usage")</f>
        <v>Low Usage</v>
      </c>
    </row>
    <row r="33" customFormat="false" ht="15" hidden="false" customHeight="true" outlineLevel="0" collapsed="false">
      <c r="A33" s="56" t="n">
        <v>1032</v>
      </c>
      <c r="B33" s="56" t="s">
        <v>110</v>
      </c>
      <c r="C33" s="56" t="s">
        <v>267</v>
      </c>
      <c r="D33" s="56" t="s">
        <v>99</v>
      </c>
      <c r="E33" s="56" t="s">
        <v>225</v>
      </c>
      <c r="F33" s="56" t="s">
        <v>217</v>
      </c>
      <c r="G33" s="56" t="s">
        <v>218</v>
      </c>
      <c r="H33" s="56" t="s">
        <v>148</v>
      </c>
      <c r="I33" s="56" t="s">
        <v>81</v>
      </c>
      <c r="J33" s="56" t="n">
        <v>3.9</v>
      </c>
      <c r="K33" s="56" t="n">
        <v>22</v>
      </c>
      <c r="L33" s="56" t="n">
        <v>73.9</v>
      </c>
      <c r="M33" s="56" t="n">
        <v>2.7</v>
      </c>
      <c r="N33" s="56" t="n">
        <v>3.5</v>
      </c>
      <c r="O33" s="56" t="s">
        <v>223</v>
      </c>
      <c r="P33" s="56" t="n">
        <v>23</v>
      </c>
      <c r="Q33" s="56" t="n">
        <v>41.3</v>
      </c>
      <c r="R33" s="56" t="n">
        <v>63.1</v>
      </c>
      <c r="S33" s="56" t="str">
        <f aca="false">IF(L33&gt;=90,"Top Performer",IF(L33&gt;=75,"High Performer",IF(L33&gt;=60,"Average","Needs Improvement")))</f>
        <v>Average</v>
      </c>
      <c r="T33" s="56" t="str">
        <f aca="false">IF(J33&gt;=4,"Active","Low Usage")</f>
        <v>Low Usage</v>
      </c>
    </row>
    <row r="34" customFormat="false" ht="15" hidden="false" customHeight="true" outlineLevel="0" collapsed="false">
      <c r="A34" s="25" t="n">
        <v>1033</v>
      </c>
      <c r="B34" s="25" t="s">
        <v>94</v>
      </c>
      <c r="C34" s="25" t="s">
        <v>268</v>
      </c>
      <c r="D34" s="25" t="s">
        <v>95</v>
      </c>
      <c r="E34" s="25" t="s">
        <v>225</v>
      </c>
      <c r="F34" s="25" t="s">
        <v>234</v>
      </c>
      <c r="G34" s="25" t="s">
        <v>218</v>
      </c>
      <c r="H34" s="25" t="s">
        <v>148</v>
      </c>
      <c r="I34" s="25" t="s">
        <v>81</v>
      </c>
      <c r="J34" s="25" t="n">
        <v>2.3</v>
      </c>
      <c r="K34" s="25" t="n">
        <v>34</v>
      </c>
      <c r="L34" s="55" t="n">
        <v>72.9</v>
      </c>
      <c r="M34" s="25" t="n">
        <v>1.1</v>
      </c>
      <c r="N34" s="55" t="n">
        <v>3.8</v>
      </c>
      <c r="O34" s="25" t="s">
        <v>228</v>
      </c>
      <c r="P34" s="25" t="n">
        <v>48</v>
      </c>
      <c r="Q34" s="25" t="n">
        <v>40</v>
      </c>
      <c r="R34" s="25" t="n">
        <v>89.9</v>
      </c>
      <c r="S34" s="25" t="str">
        <f aca="false">IF(L34&gt;=90,"Top Performer",IF(L34&gt;=75,"High Performer",IF(L34&gt;=60,"Average","Needs Improvement")))</f>
        <v>Average</v>
      </c>
      <c r="T34" s="25" t="str">
        <f aca="false">IF(J34&gt;=4,"Active","Low Usage")</f>
        <v>Low Usage</v>
      </c>
    </row>
    <row r="35" customFormat="false" ht="15" hidden="false" customHeight="true" outlineLevel="0" collapsed="false">
      <c r="A35" s="56" t="n">
        <v>1034</v>
      </c>
      <c r="B35" s="56" t="s">
        <v>109</v>
      </c>
      <c r="C35" s="56" t="s">
        <v>269</v>
      </c>
      <c r="D35" s="56" t="s">
        <v>99</v>
      </c>
      <c r="E35" s="56" t="s">
        <v>249</v>
      </c>
      <c r="F35" s="56" t="s">
        <v>217</v>
      </c>
      <c r="G35" s="56" t="s">
        <v>253</v>
      </c>
      <c r="H35" s="56" t="s">
        <v>148</v>
      </c>
      <c r="I35" s="56" t="s">
        <v>83</v>
      </c>
      <c r="J35" s="56" t="n">
        <v>3.5</v>
      </c>
      <c r="K35" s="56" t="n">
        <v>39</v>
      </c>
      <c r="L35" s="56" t="n">
        <v>89.4</v>
      </c>
      <c r="M35" s="56" t="n">
        <v>2.7</v>
      </c>
      <c r="N35" s="56" t="n">
        <v>4</v>
      </c>
      <c r="O35" s="56" t="s">
        <v>223</v>
      </c>
      <c r="P35" s="56" t="n">
        <v>24</v>
      </c>
      <c r="Q35" s="56" t="n">
        <v>27</v>
      </c>
      <c r="R35" s="56" t="n">
        <v>75.2</v>
      </c>
      <c r="S35" s="56" t="str">
        <f aca="false">IF(L35&gt;=90,"Top Performer",IF(L35&gt;=75,"High Performer",IF(L35&gt;=60,"Average","Needs Improvement")))</f>
        <v>High Performer</v>
      </c>
      <c r="T35" s="56" t="str">
        <f aca="false">IF(J35&gt;=4,"Active","Low Usage")</f>
        <v>Low Usage</v>
      </c>
    </row>
    <row r="36" customFormat="false" ht="15" hidden="false" customHeight="true" outlineLevel="0" collapsed="false">
      <c r="A36" s="25" t="n">
        <v>1035</v>
      </c>
      <c r="B36" s="25" t="s">
        <v>106</v>
      </c>
      <c r="C36" s="25" t="s">
        <v>270</v>
      </c>
      <c r="D36" s="25" t="s">
        <v>95</v>
      </c>
      <c r="E36" s="25" t="s">
        <v>243</v>
      </c>
      <c r="F36" s="25" t="s">
        <v>236</v>
      </c>
      <c r="G36" s="25" t="s">
        <v>241</v>
      </c>
      <c r="H36" s="25" t="s">
        <v>148</v>
      </c>
      <c r="I36" s="25" t="s">
        <v>83</v>
      </c>
      <c r="J36" s="25" t="n">
        <v>5.5</v>
      </c>
      <c r="K36" s="25" t="n">
        <v>6</v>
      </c>
      <c r="L36" s="55" t="n">
        <v>58.6</v>
      </c>
      <c r="M36" s="25" t="n">
        <v>3.1</v>
      </c>
      <c r="N36" s="55" t="n">
        <v>4.7</v>
      </c>
      <c r="O36" s="25" t="s">
        <v>219</v>
      </c>
      <c r="P36" s="25" t="n">
        <v>0</v>
      </c>
      <c r="Q36" s="25" t="n">
        <v>11.8</v>
      </c>
      <c r="R36" s="25" t="n">
        <v>74.8</v>
      </c>
      <c r="S36" s="25" t="str">
        <f aca="false">IF(L36&gt;=90,"Top Performer",IF(L36&gt;=75,"High Performer",IF(L36&gt;=60,"Average","Needs Improvement")))</f>
        <v>Needs Improvement</v>
      </c>
      <c r="T36" s="25" t="str">
        <f aca="false">IF(J36&gt;=4,"Active","Low Usage")</f>
        <v>Active</v>
      </c>
    </row>
    <row r="37" customFormat="false" ht="15" hidden="false" customHeight="true" outlineLevel="0" collapsed="false">
      <c r="A37" s="56" t="n">
        <v>1036</v>
      </c>
      <c r="B37" s="56" t="s">
        <v>100</v>
      </c>
      <c r="C37" s="56" t="s">
        <v>256</v>
      </c>
      <c r="D37" s="56" t="s">
        <v>99</v>
      </c>
      <c r="E37" s="56" t="s">
        <v>236</v>
      </c>
      <c r="F37" s="56" t="s">
        <v>217</v>
      </c>
      <c r="G37" s="56" t="s">
        <v>222</v>
      </c>
      <c r="H37" s="56" t="s">
        <v>148</v>
      </c>
      <c r="I37" s="56" t="s">
        <v>81</v>
      </c>
      <c r="J37" s="56" t="n">
        <v>5.1</v>
      </c>
      <c r="K37" s="56" t="n">
        <v>35</v>
      </c>
      <c r="L37" s="56" t="n">
        <v>55.8</v>
      </c>
      <c r="M37" s="56" t="n">
        <v>3.1</v>
      </c>
      <c r="N37" s="56" t="n">
        <v>5</v>
      </c>
      <c r="O37" s="56" t="s">
        <v>223</v>
      </c>
      <c r="P37" s="56" t="n">
        <v>21</v>
      </c>
      <c r="Q37" s="56" t="n">
        <v>32.8</v>
      </c>
      <c r="R37" s="56" t="n">
        <v>90.5</v>
      </c>
      <c r="S37" s="56" t="str">
        <f aca="false">IF(L37&gt;=90,"Top Performer",IF(L37&gt;=75,"High Performer",IF(L37&gt;=60,"Average","Needs Improvement")))</f>
        <v>Needs Improvement</v>
      </c>
      <c r="T37" s="56" t="str">
        <f aca="false">IF(J37&gt;=4,"Active","Low Usage")</f>
        <v>Active</v>
      </c>
    </row>
    <row r="38" customFormat="false" ht="15" hidden="false" customHeight="true" outlineLevel="0" collapsed="false">
      <c r="A38" s="25" t="n">
        <v>1037</v>
      </c>
      <c r="B38" s="25" t="s">
        <v>106</v>
      </c>
      <c r="C38" s="25" t="s">
        <v>258</v>
      </c>
      <c r="D38" s="25" t="s">
        <v>93</v>
      </c>
      <c r="E38" s="25" t="s">
        <v>230</v>
      </c>
      <c r="F38" s="25" t="s">
        <v>234</v>
      </c>
      <c r="G38" s="25" t="s">
        <v>231</v>
      </c>
      <c r="H38" s="25" t="s">
        <v>148</v>
      </c>
      <c r="I38" s="25" t="s">
        <v>80</v>
      </c>
      <c r="J38" s="25" t="n">
        <v>1.2</v>
      </c>
      <c r="K38" s="25" t="n">
        <v>12</v>
      </c>
      <c r="L38" s="55" t="n">
        <v>79.3</v>
      </c>
      <c r="M38" s="25" t="n">
        <v>0.6</v>
      </c>
      <c r="N38" s="55" t="n">
        <v>4.4</v>
      </c>
      <c r="O38" s="25" t="s">
        <v>223</v>
      </c>
      <c r="P38" s="25" t="n">
        <v>20</v>
      </c>
      <c r="Q38" s="25" t="n">
        <v>31.2</v>
      </c>
      <c r="R38" s="25" t="n">
        <v>97.6</v>
      </c>
      <c r="S38" s="25" t="str">
        <f aca="false">IF(L38&gt;=90,"Top Performer",IF(L38&gt;=75,"High Performer",IF(L38&gt;=60,"Average","Needs Improvement")))</f>
        <v>High Performer</v>
      </c>
      <c r="T38" s="25" t="str">
        <f aca="false">IF(J38&gt;=4,"Active","Low Usage")</f>
        <v>Low Usage</v>
      </c>
    </row>
    <row r="39" customFormat="false" ht="15" hidden="false" customHeight="true" outlineLevel="0" collapsed="false">
      <c r="A39" s="56" t="n">
        <v>1038</v>
      </c>
      <c r="B39" s="56" t="s">
        <v>111</v>
      </c>
      <c r="C39" s="56" t="s">
        <v>271</v>
      </c>
      <c r="D39" s="56" t="s">
        <v>95</v>
      </c>
      <c r="E39" s="56" t="s">
        <v>236</v>
      </c>
      <c r="F39" s="56" t="s">
        <v>226</v>
      </c>
      <c r="G39" s="56" t="s">
        <v>231</v>
      </c>
      <c r="H39" s="56" t="s">
        <v>148</v>
      </c>
      <c r="I39" s="56" t="s">
        <v>80</v>
      </c>
      <c r="J39" s="56" t="n">
        <v>2.7</v>
      </c>
      <c r="K39" s="56" t="n">
        <v>17</v>
      </c>
      <c r="L39" s="56" t="n">
        <v>58.3</v>
      </c>
      <c r="M39" s="56" t="n">
        <v>1.8</v>
      </c>
      <c r="N39" s="56" t="n">
        <v>4.3</v>
      </c>
      <c r="O39" s="56" t="s">
        <v>219</v>
      </c>
      <c r="P39" s="56" t="n">
        <v>0</v>
      </c>
      <c r="Q39" s="56" t="n">
        <v>34.4</v>
      </c>
      <c r="R39" s="56" t="n">
        <v>71.8</v>
      </c>
      <c r="S39" s="56" t="str">
        <f aca="false">IF(L39&gt;=90,"Top Performer",IF(L39&gt;=75,"High Performer",IF(L39&gt;=60,"Average","Needs Improvement")))</f>
        <v>Needs Improvement</v>
      </c>
      <c r="T39" s="56" t="str">
        <f aca="false">IF(J39&gt;=4,"Active","Low Usage")</f>
        <v>Low Usage</v>
      </c>
    </row>
    <row r="40" customFormat="false" ht="15" hidden="false" customHeight="true" outlineLevel="0" collapsed="false">
      <c r="A40" s="25" t="n">
        <v>1039</v>
      </c>
      <c r="B40" s="25" t="s">
        <v>102</v>
      </c>
      <c r="C40" s="25" t="s">
        <v>272</v>
      </c>
      <c r="D40" s="25" t="s">
        <v>93</v>
      </c>
      <c r="E40" s="25" t="s">
        <v>243</v>
      </c>
      <c r="F40" s="25" t="s">
        <v>221</v>
      </c>
      <c r="G40" s="25" t="s">
        <v>231</v>
      </c>
      <c r="H40" s="25" t="s">
        <v>148</v>
      </c>
      <c r="I40" s="25" t="s">
        <v>84</v>
      </c>
      <c r="J40" s="25" t="n">
        <v>4.1</v>
      </c>
      <c r="K40" s="25" t="n">
        <v>9</v>
      </c>
      <c r="L40" s="55" t="n">
        <v>76.8</v>
      </c>
      <c r="M40" s="25" t="n">
        <v>2.2</v>
      </c>
      <c r="N40" s="55" t="n">
        <v>4.7</v>
      </c>
      <c r="O40" s="25" t="s">
        <v>223</v>
      </c>
      <c r="P40" s="25" t="n">
        <v>19</v>
      </c>
      <c r="Q40" s="25" t="n">
        <v>25.2</v>
      </c>
      <c r="R40" s="25" t="n">
        <v>74.1</v>
      </c>
      <c r="S40" s="25" t="str">
        <f aca="false">IF(L40&gt;=90,"Top Performer",IF(L40&gt;=75,"High Performer",IF(L40&gt;=60,"Average","Needs Improvement")))</f>
        <v>High Performer</v>
      </c>
      <c r="T40" s="25" t="str">
        <f aca="false">IF(J40&gt;=4,"Active","Low Usage")</f>
        <v>Active</v>
      </c>
    </row>
    <row r="41" customFormat="false" ht="15" hidden="false" customHeight="true" outlineLevel="0" collapsed="false">
      <c r="A41" s="56" t="n">
        <v>1040</v>
      </c>
      <c r="B41" s="56" t="s">
        <v>106</v>
      </c>
      <c r="C41" s="56" t="s">
        <v>273</v>
      </c>
      <c r="D41" s="56" t="s">
        <v>95</v>
      </c>
      <c r="E41" s="56" t="s">
        <v>225</v>
      </c>
      <c r="F41" s="56" t="s">
        <v>234</v>
      </c>
      <c r="G41" s="56" t="s">
        <v>253</v>
      </c>
      <c r="H41" s="56" t="s">
        <v>148</v>
      </c>
      <c r="I41" s="56" t="s">
        <v>83</v>
      </c>
      <c r="J41" s="56" t="n">
        <v>3.1</v>
      </c>
      <c r="K41" s="56" t="n">
        <v>22</v>
      </c>
      <c r="L41" s="56" t="n">
        <v>68.9</v>
      </c>
      <c r="M41" s="56" t="n">
        <v>1.5</v>
      </c>
      <c r="N41" s="56" t="n">
        <v>4.9</v>
      </c>
      <c r="O41" s="56" t="s">
        <v>223</v>
      </c>
      <c r="P41" s="56" t="n">
        <v>25</v>
      </c>
      <c r="Q41" s="56" t="n">
        <v>18.5</v>
      </c>
      <c r="R41" s="56" t="n">
        <v>78.1</v>
      </c>
      <c r="S41" s="56" t="str">
        <f aca="false">IF(L41&gt;=90,"Top Performer",IF(L41&gt;=75,"High Performer",IF(L41&gt;=60,"Average","Needs Improvement")))</f>
        <v>Average</v>
      </c>
      <c r="T41" s="56" t="str">
        <f aca="false">IF(J41&gt;=4,"Active","Low Usage")</f>
        <v>Low Usage</v>
      </c>
    </row>
    <row r="42" customFormat="false" ht="15" hidden="false" customHeight="true" outlineLevel="0" collapsed="false">
      <c r="A42" s="25" t="n">
        <v>1041</v>
      </c>
      <c r="B42" s="25" t="s">
        <v>110</v>
      </c>
      <c r="C42" s="25" t="s">
        <v>274</v>
      </c>
      <c r="D42" s="25" t="s">
        <v>99</v>
      </c>
      <c r="E42" s="25" t="s">
        <v>236</v>
      </c>
      <c r="F42" s="25" t="s">
        <v>226</v>
      </c>
      <c r="G42" s="25" t="s">
        <v>239</v>
      </c>
      <c r="H42" s="25" t="s">
        <v>149</v>
      </c>
      <c r="I42" s="25" t="s">
        <v>84</v>
      </c>
      <c r="J42" s="25" t="n">
        <v>3.2</v>
      </c>
      <c r="K42" s="25" t="n">
        <v>27</v>
      </c>
      <c r="L42" s="55" t="n">
        <v>89.3</v>
      </c>
      <c r="M42" s="25" t="n">
        <v>1.7</v>
      </c>
      <c r="N42" s="55" t="n">
        <v>4.8</v>
      </c>
      <c r="O42" s="25" t="s">
        <v>228</v>
      </c>
      <c r="P42" s="25" t="n">
        <v>52</v>
      </c>
      <c r="Q42" s="25" t="n">
        <v>29.5</v>
      </c>
      <c r="R42" s="25" t="n">
        <v>80.1</v>
      </c>
      <c r="S42" s="25" t="str">
        <f aca="false">IF(L42&gt;=90,"Top Performer",IF(L42&gt;=75,"High Performer",IF(L42&gt;=60,"Average","Needs Improvement")))</f>
        <v>High Performer</v>
      </c>
      <c r="T42" s="25" t="str">
        <f aca="false">IF(J42&gt;=4,"Active","Low Usage")</f>
        <v>Low Usage</v>
      </c>
    </row>
    <row r="43" customFormat="false" ht="15" hidden="false" customHeight="true" outlineLevel="0" collapsed="false">
      <c r="A43" s="56" t="n">
        <v>1042</v>
      </c>
      <c r="B43" s="56" t="s">
        <v>105</v>
      </c>
      <c r="C43" s="56" t="s">
        <v>275</v>
      </c>
      <c r="D43" s="56" t="s">
        <v>93</v>
      </c>
      <c r="E43" s="56" t="s">
        <v>230</v>
      </c>
      <c r="F43" s="56" t="s">
        <v>236</v>
      </c>
      <c r="G43" s="56" t="s">
        <v>239</v>
      </c>
      <c r="H43" s="56" t="s">
        <v>149</v>
      </c>
      <c r="I43" s="56" t="s">
        <v>81</v>
      </c>
      <c r="J43" s="56" t="n">
        <v>4.1</v>
      </c>
      <c r="K43" s="56" t="n">
        <v>36</v>
      </c>
      <c r="L43" s="56" t="n">
        <v>74.3</v>
      </c>
      <c r="M43" s="56" t="n">
        <v>1.7</v>
      </c>
      <c r="N43" s="56" t="n">
        <v>3.6</v>
      </c>
      <c r="O43" s="56" t="s">
        <v>223</v>
      </c>
      <c r="P43" s="56" t="n">
        <v>21</v>
      </c>
      <c r="Q43" s="56" t="n">
        <v>20.7</v>
      </c>
      <c r="R43" s="56" t="n">
        <v>82.7</v>
      </c>
      <c r="S43" s="56" t="str">
        <f aca="false">IF(L43&gt;=90,"Top Performer",IF(L43&gt;=75,"High Performer",IF(L43&gt;=60,"Average","Needs Improvement")))</f>
        <v>Average</v>
      </c>
      <c r="T43" s="56" t="str">
        <f aca="false">IF(J43&gt;=4,"Active","Low Usage")</f>
        <v>Active</v>
      </c>
    </row>
    <row r="44" customFormat="false" ht="15" hidden="false" customHeight="true" outlineLevel="0" collapsed="false">
      <c r="A44" s="25" t="n">
        <v>1043</v>
      </c>
      <c r="B44" s="25" t="s">
        <v>108</v>
      </c>
      <c r="C44" s="25" t="s">
        <v>276</v>
      </c>
      <c r="D44" s="25" t="s">
        <v>101</v>
      </c>
      <c r="E44" s="25" t="s">
        <v>233</v>
      </c>
      <c r="F44" s="25" t="s">
        <v>217</v>
      </c>
      <c r="G44" s="25" t="s">
        <v>222</v>
      </c>
      <c r="H44" s="25" t="s">
        <v>148</v>
      </c>
      <c r="I44" s="25" t="s">
        <v>83</v>
      </c>
      <c r="J44" s="25" t="n">
        <v>2.4</v>
      </c>
      <c r="K44" s="25" t="n">
        <v>34</v>
      </c>
      <c r="L44" s="55" t="n">
        <v>66.6</v>
      </c>
      <c r="M44" s="25" t="n">
        <v>1.2</v>
      </c>
      <c r="N44" s="55" t="n">
        <v>3.2</v>
      </c>
      <c r="O44" s="25" t="s">
        <v>219</v>
      </c>
      <c r="P44" s="25" t="n">
        <v>0</v>
      </c>
      <c r="Q44" s="25" t="n">
        <v>21</v>
      </c>
      <c r="R44" s="25" t="n">
        <v>89</v>
      </c>
      <c r="S44" s="25" t="str">
        <f aca="false">IF(L44&gt;=90,"Top Performer",IF(L44&gt;=75,"High Performer",IF(L44&gt;=60,"Average","Needs Improvement")))</f>
        <v>Average</v>
      </c>
      <c r="T44" s="25" t="str">
        <f aca="false">IF(J44&gt;=4,"Active","Low Usage")</f>
        <v>Low Usage</v>
      </c>
    </row>
    <row r="45" customFormat="false" ht="15" hidden="false" customHeight="true" outlineLevel="0" collapsed="false">
      <c r="A45" s="56" t="n">
        <v>1044</v>
      </c>
      <c r="B45" s="56" t="s">
        <v>108</v>
      </c>
      <c r="C45" s="56" t="s">
        <v>263</v>
      </c>
      <c r="D45" s="56" t="s">
        <v>95</v>
      </c>
      <c r="E45" s="56" t="s">
        <v>230</v>
      </c>
      <c r="F45" s="56" t="s">
        <v>236</v>
      </c>
      <c r="G45" s="56" t="s">
        <v>253</v>
      </c>
      <c r="H45" s="56" t="s">
        <v>148</v>
      </c>
      <c r="I45" s="56" t="s">
        <v>81</v>
      </c>
      <c r="J45" s="56" t="n">
        <v>5.9</v>
      </c>
      <c r="K45" s="56" t="n">
        <v>17</v>
      </c>
      <c r="L45" s="56" t="n">
        <v>67.7</v>
      </c>
      <c r="M45" s="56" t="n">
        <v>3.2</v>
      </c>
      <c r="N45" s="56" t="n">
        <v>3.6</v>
      </c>
      <c r="O45" s="56" t="s">
        <v>228</v>
      </c>
      <c r="P45" s="56" t="n">
        <v>50</v>
      </c>
      <c r="Q45" s="56" t="n">
        <v>19.6</v>
      </c>
      <c r="R45" s="56" t="n">
        <v>98</v>
      </c>
      <c r="S45" s="56" t="str">
        <f aca="false">IF(L45&gt;=90,"Top Performer",IF(L45&gt;=75,"High Performer",IF(L45&gt;=60,"Average","Needs Improvement")))</f>
        <v>Average</v>
      </c>
      <c r="T45" s="56" t="str">
        <f aca="false">IF(J45&gt;=4,"Active","Low Usage")</f>
        <v>Active</v>
      </c>
    </row>
    <row r="46" customFormat="false" ht="15" hidden="false" customHeight="true" outlineLevel="0" collapsed="false">
      <c r="A46" s="25" t="n">
        <v>1045</v>
      </c>
      <c r="B46" s="25" t="s">
        <v>94</v>
      </c>
      <c r="C46" s="25" t="s">
        <v>277</v>
      </c>
      <c r="D46" s="25" t="s">
        <v>97</v>
      </c>
      <c r="E46" s="25" t="s">
        <v>216</v>
      </c>
      <c r="F46" s="25" t="s">
        <v>234</v>
      </c>
      <c r="G46" s="25" t="s">
        <v>239</v>
      </c>
      <c r="H46" s="25" t="s">
        <v>149</v>
      </c>
      <c r="I46" s="25" t="s">
        <v>84</v>
      </c>
      <c r="J46" s="25" t="n">
        <v>3.1</v>
      </c>
      <c r="K46" s="25" t="n">
        <v>33</v>
      </c>
      <c r="L46" s="55" t="n">
        <v>69.7</v>
      </c>
      <c r="M46" s="25" t="n">
        <v>2.4</v>
      </c>
      <c r="N46" s="55" t="n">
        <v>3.5</v>
      </c>
      <c r="O46" s="25" t="s">
        <v>223</v>
      </c>
      <c r="P46" s="25" t="n">
        <v>19</v>
      </c>
      <c r="Q46" s="25" t="n">
        <v>38.8</v>
      </c>
      <c r="R46" s="25" t="n">
        <v>75.6</v>
      </c>
      <c r="S46" s="25" t="str">
        <f aca="false">IF(L46&gt;=90,"Top Performer",IF(L46&gt;=75,"High Performer",IF(L46&gt;=60,"Average","Needs Improvement")))</f>
        <v>Average</v>
      </c>
      <c r="T46" s="25" t="str">
        <f aca="false">IF(J46&gt;=4,"Active","Low Usage")</f>
        <v>Low Usage</v>
      </c>
    </row>
    <row r="47" customFormat="false" ht="15" hidden="false" customHeight="true" outlineLevel="0" collapsed="false">
      <c r="A47" s="56" t="n">
        <v>1046</v>
      </c>
      <c r="B47" s="56" t="s">
        <v>96</v>
      </c>
      <c r="C47" s="56" t="s">
        <v>263</v>
      </c>
      <c r="D47" s="56" t="s">
        <v>101</v>
      </c>
      <c r="E47" s="56" t="s">
        <v>216</v>
      </c>
      <c r="F47" s="56" t="s">
        <v>226</v>
      </c>
      <c r="G47" s="56" t="s">
        <v>241</v>
      </c>
      <c r="H47" s="56" t="s">
        <v>148</v>
      </c>
      <c r="I47" s="56" t="s">
        <v>80</v>
      </c>
      <c r="J47" s="56" t="n">
        <v>1</v>
      </c>
      <c r="K47" s="56" t="n">
        <v>20</v>
      </c>
      <c r="L47" s="56" t="n">
        <v>60.1</v>
      </c>
      <c r="M47" s="56" t="n">
        <v>0.7</v>
      </c>
      <c r="N47" s="56" t="n">
        <v>4.2</v>
      </c>
      <c r="O47" s="56" t="s">
        <v>228</v>
      </c>
      <c r="P47" s="56" t="n">
        <v>51</v>
      </c>
      <c r="Q47" s="56" t="n">
        <v>37.1</v>
      </c>
      <c r="R47" s="56" t="n">
        <v>74.8</v>
      </c>
      <c r="S47" s="56" t="str">
        <f aca="false">IF(L47&gt;=90,"Top Performer",IF(L47&gt;=75,"High Performer",IF(L47&gt;=60,"Average","Needs Improvement")))</f>
        <v>Average</v>
      </c>
      <c r="T47" s="56" t="str">
        <f aca="false">IF(J47&gt;=4,"Active","Low Usage")</f>
        <v>Low Usage</v>
      </c>
    </row>
    <row r="48" customFormat="false" ht="15" hidden="false" customHeight="true" outlineLevel="0" collapsed="false">
      <c r="A48" s="25" t="n">
        <v>1047</v>
      </c>
      <c r="B48" s="25" t="s">
        <v>100</v>
      </c>
      <c r="C48" s="25" t="s">
        <v>278</v>
      </c>
      <c r="D48" s="25" t="s">
        <v>97</v>
      </c>
      <c r="E48" s="25" t="s">
        <v>243</v>
      </c>
      <c r="F48" s="25" t="s">
        <v>221</v>
      </c>
      <c r="G48" s="25" t="s">
        <v>222</v>
      </c>
      <c r="H48" s="25" t="s">
        <v>148</v>
      </c>
      <c r="I48" s="25" t="s">
        <v>83</v>
      </c>
      <c r="J48" s="25" t="n">
        <v>3.9</v>
      </c>
      <c r="K48" s="25" t="n">
        <v>11</v>
      </c>
      <c r="L48" s="55" t="n">
        <v>95.7</v>
      </c>
      <c r="M48" s="25" t="n">
        <v>1.9</v>
      </c>
      <c r="N48" s="55" t="n">
        <v>3.4</v>
      </c>
      <c r="O48" s="25" t="s">
        <v>228</v>
      </c>
      <c r="P48" s="25" t="n">
        <v>49</v>
      </c>
      <c r="Q48" s="25" t="n">
        <v>15.5</v>
      </c>
      <c r="R48" s="25" t="n">
        <v>66.8</v>
      </c>
      <c r="S48" s="25" t="str">
        <f aca="false">IF(L48&gt;=90,"Top Performer",IF(L48&gt;=75,"High Performer",IF(L48&gt;=60,"Average","Needs Improvement")))</f>
        <v>Top Performer</v>
      </c>
      <c r="T48" s="25" t="str">
        <f aca="false">IF(J48&gt;=4,"Active","Low Usage")</f>
        <v>Low Usage</v>
      </c>
    </row>
    <row r="49" customFormat="false" ht="15" hidden="false" customHeight="true" outlineLevel="0" collapsed="false">
      <c r="A49" s="56" t="n">
        <v>1048</v>
      </c>
      <c r="B49" s="56" t="s">
        <v>108</v>
      </c>
      <c r="C49" s="56" t="s">
        <v>279</v>
      </c>
      <c r="D49" s="56" t="s">
        <v>95</v>
      </c>
      <c r="E49" s="56" t="s">
        <v>249</v>
      </c>
      <c r="F49" s="56" t="s">
        <v>236</v>
      </c>
      <c r="G49" s="56" t="s">
        <v>239</v>
      </c>
      <c r="H49" s="56" t="s">
        <v>149</v>
      </c>
      <c r="I49" s="56" t="s">
        <v>80</v>
      </c>
      <c r="J49" s="56" t="n">
        <v>2.1</v>
      </c>
      <c r="K49" s="56" t="n">
        <v>19</v>
      </c>
      <c r="L49" s="56" t="n">
        <v>67.4</v>
      </c>
      <c r="M49" s="56" t="n">
        <v>1.1</v>
      </c>
      <c r="N49" s="56" t="n">
        <v>4.7</v>
      </c>
      <c r="O49" s="56" t="s">
        <v>219</v>
      </c>
      <c r="P49" s="56" t="n">
        <v>0</v>
      </c>
      <c r="Q49" s="56" t="n">
        <v>34.1</v>
      </c>
      <c r="R49" s="56" t="n">
        <v>96</v>
      </c>
      <c r="S49" s="56" t="str">
        <f aca="false">IF(L49&gt;=90,"Top Performer",IF(L49&gt;=75,"High Performer",IF(L49&gt;=60,"Average","Needs Improvement")))</f>
        <v>Average</v>
      </c>
      <c r="T49" s="56" t="str">
        <f aca="false">IF(J49&gt;=4,"Active","Low Usage")</f>
        <v>Low Usage</v>
      </c>
    </row>
    <row r="50" customFormat="false" ht="15" hidden="false" customHeight="true" outlineLevel="0" collapsed="false">
      <c r="A50" s="25" t="n">
        <v>1049</v>
      </c>
      <c r="B50" s="25" t="s">
        <v>107</v>
      </c>
      <c r="C50" s="25" t="s">
        <v>280</v>
      </c>
      <c r="D50" s="25" t="s">
        <v>95</v>
      </c>
      <c r="E50" s="25" t="s">
        <v>225</v>
      </c>
      <c r="F50" s="25" t="s">
        <v>226</v>
      </c>
      <c r="G50" s="25" t="s">
        <v>218</v>
      </c>
      <c r="H50" s="25" t="s">
        <v>148</v>
      </c>
      <c r="I50" s="25" t="s">
        <v>84</v>
      </c>
      <c r="J50" s="25" t="n">
        <v>5</v>
      </c>
      <c r="K50" s="25" t="n">
        <v>9</v>
      </c>
      <c r="L50" s="55" t="n">
        <v>57.6</v>
      </c>
      <c r="M50" s="25" t="n">
        <v>3.6</v>
      </c>
      <c r="N50" s="55" t="n">
        <v>4.2</v>
      </c>
      <c r="O50" s="25" t="s">
        <v>228</v>
      </c>
      <c r="P50" s="25" t="n">
        <v>52</v>
      </c>
      <c r="Q50" s="25" t="n">
        <v>25.4</v>
      </c>
      <c r="R50" s="25" t="n">
        <v>78.3</v>
      </c>
      <c r="S50" s="25" t="str">
        <f aca="false">IF(L50&gt;=90,"Top Performer",IF(L50&gt;=75,"High Performer",IF(L50&gt;=60,"Average","Needs Improvement")))</f>
        <v>Needs Improvement</v>
      </c>
      <c r="T50" s="25" t="str">
        <f aca="false">IF(J50&gt;=4,"Active","Low Usage")</f>
        <v>Active</v>
      </c>
    </row>
    <row r="51" customFormat="false" ht="15" hidden="false" customHeight="true" outlineLevel="0" collapsed="false">
      <c r="A51" s="56" t="n">
        <v>1050</v>
      </c>
      <c r="B51" s="56" t="s">
        <v>104</v>
      </c>
      <c r="C51" s="56" t="s">
        <v>281</v>
      </c>
      <c r="D51" s="56" t="s">
        <v>99</v>
      </c>
      <c r="E51" s="56" t="s">
        <v>236</v>
      </c>
      <c r="F51" s="56" t="s">
        <v>221</v>
      </c>
      <c r="G51" s="56" t="s">
        <v>239</v>
      </c>
      <c r="H51" s="56" t="s">
        <v>149</v>
      </c>
      <c r="I51" s="56" t="s">
        <v>82</v>
      </c>
      <c r="J51" s="56" t="n">
        <v>5.4</v>
      </c>
      <c r="K51" s="56" t="n">
        <v>25</v>
      </c>
      <c r="L51" s="56" t="n">
        <v>81</v>
      </c>
      <c r="M51" s="56" t="n">
        <v>2.2</v>
      </c>
      <c r="N51" s="56" t="n">
        <v>3.5</v>
      </c>
      <c r="O51" s="56" t="s">
        <v>228</v>
      </c>
      <c r="P51" s="56" t="n">
        <v>48</v>
      </c>
      <c r="Q51" s="56" t="n">
        <v>45</v>
      </c>
      <c r="R51" s="56" t="n">
        <v>86.2</v>
      </c>
      <c r="S51" s="56" t="str">
        <f aca="false">IF(L51&gt;=90,"Top Performer",IF(L51&gt;=75,"High Performer",IF(L51&gt;=60,"Average","Needs Improvement")))</f>
        <v>High Performer</v>
      </c>
      <c r="T51" s="56" t="str">
        <f aca="false">IF(J51&gt;=4,"Active","Low Usage")</f>
        <v>Active</v>
      </c>
    </row>
    <row r="52" customFormat="false" ht="15" hidden="false" customHeight="true" outlineLevel="0" collapsed="false">
      <c r="A52" s="25" t="n">
        <v>1051</v>
      </c>
      <c r="B52" s="25" t="s">
        <v>105</v>
      </c>
      <c r="C52" s="25" t="s">
        <v>220</v>
      </c>
      <c r="D52" s="25" t="s">
        <v>101</v>
      </c>
      <c r="E52" s="25" t="s">
        <v>249</v>
      </c>
      <c r="F52" s="25" t="s">
        <v>234</v>
      </c>
      <c r="G52" s="25" t="s">
        <v>239</v>
      </c>
      <c r="H52" s="25" t="s">
        <v>149</v>
      </c>
      <c r="I52" s="25" t="s">
        <v>82</v>
      </c>
      <c r="J52" s="25" t="n">
        <v>1.5</v>
      </c>
      <c r="K52" s="25" t="n">
        <v>32</v>
      </c>
      <c r="L52" s="55" t="n">
        <v>82.3</v>
      </c>
      <c r="M52" s="25" t="n">
        <v>0.9</v>
      </c>
      <c r="N52" s="55" t="n">
        <v>3.2</v>
      </c>
      <c r="O52" s="25" t="s">
        <v>223</v>
      </c>
      <c r="P52" s="25" t="n">
        <v>24</v>
      </c>
      <c r="Q52" s="25" t="n">
        <v>21.7</v>
      </c>
      <c r="R52" s="25" t="n">
        <v>86.1</v>
      </c>
      <c r="S52" s="25" t="str">
        <f aca="false">IF(L52&gt;=90,"Top Performer",IF(L52&gt;=75,"High Performer",IF(L52&gt;=60,"Average","Needs Improvement")))</f>
        <v>High Performer</v>
      </c>
      <c r="T52" s="25" t="str">
        <f aca="false">IF(J52&gt;=4,"Active","Low Usage")</f>
        <v>Low Usage</v>
      </c>
    </row>
    <row r="53" customFormat="false" ht="15" hidden="false" customHeight="true" outlineLevel="0" collapsed="false">
      <c r="A53" s="56" t="n">
        <v>1052</v>
      </c>
      <c r="B53" s="56" t="s">
        <v>107</v>
      </c>
      <c r="C53" s="56" t="s">
        <v>282</v>
      </c>
      <c r="D53" s="56" t="s">
        <v>97</v>
      </c>
      <c r="E53" s="56" t="s">
        <v>225</v>
      </c>
      <c r="F53" s="56" t="s">
        <v>236</v>
      </c>
      <c r="G53" s="56" t="s">
        <v>253</v>
      </c>
      <c r="H53" s="56" t="s">
        <v>148</v>
      </c>
      <c r="I53" s="56" t="s">
        <v>81</v>
      </c>
      <c r="J53" s="56" t="n">
        <v>3</v>
      </c>
      <c r="K53" s="56" t="n">
        <v>25</v>
      </c>
      <c r="L53" s="56" t="n">
        <v>65.9</v>
      </c>
      <c r="M53" s="56" t="n">
        <v>1.3</v>
      </c>
      <c r="N53" s="56" t="n">
        <v>4.5</v>
      </c>
      <c r="O53" s="56" t="s">
        <v>228</v>
      </c>
      <c r="P53" s="56" t="n">
        <v>48</v>
      </c>
      <c r="Q53" s="56" t="n">
        <v>33</v>
      </c>
      <c r="R53" s="56" t="n">
        <v>81.2</v>
      </c>
      <c r="S53" s="56" t="str">
        <f aca="false">IF(L53&gt;=90,"Top Performer",IF(L53&gt;=75,"High Performer",IF(L53&gt;=60,"Average","Needs Improvement")))</f>
        <v>Average</v>
      </c>
      <c r="T53" s="56" t="str">
        <f aca="false">IF(J53&gt;=4,"Active","Low Usage")</f>
        <v>Low Usage</v>
      </c>
    </row>
    <row r="54" customFormat="false" ht="15" hidden="false" customHeight="true" outlineLevel="0" collapsed="false">
      <c r="A54" s="25" t="n">
        <v>1053</v>
      </c>
      <c r="B54" s="25" t="s">
        <v>106</v>
      </c>
      <c r="C54" s="25" t="s">
        <v>283</v>
      </c>
      <c r="D54" s="25" t="s">
        <v>93</v>
      </c>
      <c r="E54" s="25" t="s">
        <v>230</v>
      </c>
      <c r="F54" s="25" t="s">
        <v>221</v>
      </c>
      <c r="G54" s="25" t="s">
        <v>227</v>
      </c>
      <c r="H54" s="25" t="s">
        <v>148</v>
      </c>
      <c r="I54" s="25" t="s">
        <v>83</v>
      </c>
      <c r="J54" s="25" t="n">
        <v>4.7</v>
      </c>
      <c r="K54" s="25" t="n">
        <v>18</v>
      </c>
      <c r="L54" s="55" t="n">
        <v>66.5</v>
      </c>
      <c r="M54" s="25" t="n">
        <v>2.1</v>
      </c>
      <c r="N54" s="55" t="n">
        <v>3.6</v>
      </c>
      <c r="O54" s="25" t="s">
        <v>228</v>
      </c>
      <c r="P54" s="25" t="n">
        <v>55</v>
      </c>
      <c r="Q54" s="25" t="n">
        <v>14.2</v>
      </c>
      <c r="R54" s="25" t="n">
        <v>98</v>
      </c>
      <c r="S54" s="25" t="str">
        <f aca="false">IF(L54&gt;=90,"Top Performer",IF(L54&gt;=75,"High Performer",IF(L54&gt;=60,"Average","Needs Improvement")))</f>
        <v>Average</v>
      </c>
      <c r="T54" s="25" t="str">
        <f aca="false">IF(J54&gt;=4,"Active","Low Usage")</f>
        <v>Active</v>
      </c>
    </row>
    <row r="55" customFormat="false" ht="15" hidden="false" customHeight="true" outlineLevel="0" collapsed="false">
      <c r="A55" s="56" t="n">
        <v>1054</v>
      </c>
      <c r="B55" s="56" t="s">
        <v>105</v>
      </c>
      <c r="C55" s="56" t="s">
        <v>284</v>
      </c>
      <c r="D55" s="56" t="s">
        <v>95</v>
      </c>
      <c r="E55" s="56" t="s">
        <v>216</v>
      </c>
      <c r="F55" s="56" t="s">
        <v>234</v>
      </c>
      <c r="G55" s="56" t="s">
        <v>253</v>
      </c>
      <c r="H55" s="56" t="s">
        <v>148</v>
      </c>
      <c r="I55" s="56" t="s">
        <v>84</v>
      </c>
      <c r="J55" s="56" t="n">
        <v>1</v>
      </c>
      <c r="K55" s="56" t="n">
        <v>12</v>
      </c>
      <c r="L55" s="56" t="n">
        <v>74.8</v>
      </c>
      <c r="M55" s="56" t="n">
        <v>0.4</v>
      </c>
      <c r="N55" s="56" t="n">
        <v>4.7</v>
      </c>
      <c r="O55" s="56" t="s">
        <v>223</v>
      </c>
      <c r="P55" s="56" t="n">
        <v>22</v>
      </c>
      <c r="Q55" s="56" t="n">
        <v>27.8</v>
      </c>
      <c r="R55" s="56" t="n">
        <v>70.7</v>
      </c>
      <c r="S55" s="56" t="str">
        <f aca="false">IF(L55&gt;=90,"Top Performer",IF(L55&gt;=75,"High Performer",IF(L55&gt;=60,"Average","Needs Improvement")))</f>
        <v>Average</v>
      </c>
      <c r="T55" s="56" t="str">
        <f aca="false">IF(J55&gt;=4,"Active","Low Usage")</f>
        <v>Low Usage</v>
      </c>
    </row>
    <row r="56" customFormat="false" ht="15" hidden="false" customHeight="true" outlineLevel="0" collapsed="false">
      <c r="A56" s="25" t="n">
        <v>1055</v>
      </c>
      <c r="B56" s="25" t="s">
        <v>103</v>
      </c>
      <c r="C56" s="25" t="s">
        <v>285</v>
      </c>
      <c r="D56" s="25" t="s">
        <v>99</v>
      </c>
      <c r="E56" s="25" t="s">
        <v>230</v>
      </c>
      <c r="F56" s="25" t="s">
        <v>236</v>
      </c>
      <c r="G56" s="25" t="s">
        <v>241</v>
      </c>
      <c r="H56" s="25" t="s">
        <v>148</v>
      </c>
      <c r="I56" s="25" t="s">
        <v>83</v>
      </c>
      <c r="J56" s="25" t="n">
        <v>5.3</v>
      </c>
      <c r="K56" s="25" t="n">
        <v>22</v>
      </c>
      <c r="L56" s="55" t="n">
        <v>88.2</v>
      </c>
      <c r="M56" s="25" t="n">
        <v>3.9</v>
      </c>
      <c r="N56" s="55" t="n">
        <v>3.7</v>
      </c>
      <c r="O56" s="25" t="s">
        <v>228</v>
      </c>
      <c r="P56" s="25" t="n">
        <v>52</v>
      </c>
      <c r="Q56" s="25" t="n">
        <v>38.7</v>
      </c>
      <c r="R56" s="25" t="n">
        <v>71</v>
      </c>
      <c r="S56" s="25" t="str">
        <f aca="false">IF(L56&gt;=90,"Top Performer",IF(L56&gt;=75,"High Performer",IF(L56&gt;=60,"Average","Needs Improvement")))</f>
        <v>High Performer</v>
      </c>
      <c r="T56" s="25" t="str">
        <f aca="false">IF(J56&gt;=4,"Active","Low Usage")</f>
        <v>Active</v>
      </c>
    </row>
    <row r="57" customFormat="false" ht="15" hidden="false" customHeight="true" outlineLevel="0" collapsed="false">
      <c r="A57" s="56" t="n">
        <v>1056</v>
      </c>
      <c r="B57" s="56" t="s">
        <v>104</v>
      </c>
      <c r="C57" s="56" t="s">
        <v>273</v>
      </c>
      <c r="D57" s="56" t="s">
        <v>101</v>
      </c>
      <c r="E57" s="56" t="s">
        <v>233</v>
      </c>
      <c r="F57" s="56" t="s">
        <v>236</v>
      </c>
      <c r="G57" s="56" t="s">
        <v>241</v>
      </c>
      <c r="H57" s="56" t="s">
        <v>148</v>
      </c>
      <c r="I57" s="56" t="s">
        <v>82</v>
      </c>
      <c r="J57" s="56" t="n">
        <v>2.4</v>
      </c>
      <c r="K57" s="56" t="n">
        <v>40</v>
      </c>
      <c r="L57" s="56" t="n">
        <v>87.8</v>
      </c>
      <c r="M57" s="56" t="n">
        <v>1.3</v>
      </c>
      <c r="N57" s="56" t="n">
        <v>4.9</v>
      </c>
      <c r="O57" s="56" t="s">
        <v>219</v>
      </c>
      <c r="P57" s="56" t="n">
        <v>0</v>
      </c>
      <c r="Q57" s="56" t="n">
        <v>44.3</v>
      </c>
      <c r="R57" s="56" t="n">
        <v>69.3</v>
      </c>
      <c r="S57" s="56" t="str">
        <f aca="false">IF(L57&gt;=90,"Top Performer",IF(L57&gt;=75,"High Performer",IF(L57&gt;=60,"Average","Needs Improvement")))</f>
        <v>High Performer</v>
      </c>
      <c r="T57" s="56" t="str">
        <f aca="false">IF(J57&gt;=4,"Active","Low Usage")</f>
        <v>Low Usage</v>
      </c>
    </row>
    <row r="58" customFormat="false" ht="15" hidden="false" customHeight="true" outlineLevel="0" collapsed="false">
      <c r="A58" s="25" t="n">
        <v>1057</v>
      </c>
      <c r="B58" s="25" t="s">
        <v>102</v>
      </c>
      <c r="C58" s="25" t="s">
        <v>246</v>
      </c>
      <c r="D58" s="25" t="s">
        <v>95</v>
      </c>
      <c r="E58" s="25" t="s">
        <v>243</v>
      </c>
      <c r="F58" s="25" t="s">
        <v>236</v>
      </c>
      <c r="G58" s="25" t="s">
        <v>231</v>
      </c>
      <c r="H58" s="25" t="s">
        <v>148</v>
      </c>
      <c r="I58" s="25" t="s">
        <v>83</v>
      </c>
      <c r="J58" s="25" t="n">
        <v>2.6</v>
      </c>
      <c r="K58" s="25" t="n">
        <v>14</v>
      </c>
      <c r="L58" s="55" t="n">
        <v>76.3</v>
      </c>
      <c r="M58" s="25" t="n">
        <v>1.1</v>
      </c>
      <c r="N58" s="55" t="n">
        <v>4</v>
      </c>
      <c r="O58" s="25" t="s">
        <v>228</v>
      </c>
      <c r="P58" s="25" t="n">
        <v>53</v>
      </c>
      <c r="Q58" s="25" t="n">
        <v>40.4</v>
      </c>
      <c r="R58" s="25" t="n">
        <v>94.1</v>
      </c>
      <c r="S58" s="25" t="str">
        <f aca="false">IF(L58&gt;=90,"Top Performer",IF(L58&gt;=75,"High Performer",IF(L58&gt;=60,"Average","Needs Improvement")))</f>
        <v>High Performer</v>
      </c>
      <c r="T58" s="25" t="str">
        <f aca="false">IF(J58&gt;=4,"Active","Low Usage")</f>
        <v>Low Usage</v>
      </c>
    </row>
    <row r="59" customFormat="false" ht="15" hidden="false" customHeight="true" outlineLevel="0" collapsed="false">
      <c r="A59" s="56" t="n">
        <v>1058</v>
      </c>
      <c r="B59" s="56" t="s">
        <v>108</v>
      </c>
      <c r="C59" s="56" t="s">
        <v>286</v>
      </c>
      <c r="D59" s="56" t="s">
        <v>93</v>
      </c>
      <c r="E59" s="56" t="s">
        <v>233</v>
      </c>
      <c r="F59" s="56" t="s">
        <v>236</v>
      </c>
      <c r="G59" s="56" t="s">
        <v>231</v>
      </c>
      <c r="H59" s="56" t="s">
        <v>148</v>
      </c>
      <c r="I59" s="56" t="s">
        <v>83</v>
      </c>
      <c r="J59" s="56" t="n">
        <v>5.3</v>
      </c>
      <c r="K59" s="56" t="n">
        <v>14</v>
      </c>
      <c r="L59" s="56" t="n">
        <v>58.2</v>
      </c>
      <c r="M59" s="56" t="n">
        <v>3.8</v>
      </c>
      <c r="N59" s="56" t="n">
        <v>3.5</v>
      </c>
      <c r="O59" s="56" t="s">
        <v>228</v>
      </c>
      <c r="P59" s="56" t="n">
        <v>54</v>
      </c>
      <c r="Q59" s="56" t="n">
        <v>32.7</v>
      </c>
      <c r="R59" s="56" t="n">
        <v>93.2</v>
      </c>
      <c r="S59" s="56" t="str">
        <f aca="false">IF(L59&gt;=90,"Top Performer",IF(L59&gt;=75,"High Performer",IF(L59&gt;=60,"Average","Needs Improvement")))</f>
        <v>Needs Improvement</v>
      </c>
      <c r="T59" s="56" t="str">
        <f aca="false">IF(J59&gt;=4,"Active","Low Usage")</f>
        <v>Active</v>
      </c>
    </row>
    <row r="60" customFormat="false" ht="15" hidden="false" customHeight="true" outlineLevel="0" collapsed="false">
      <c r="A60" s="25" t="n">
        <v>1059</v>
      </c>
      <c r="B60" s="25" t="s">
        <v>106</v>
      </c>
      <c r="C60" s="25" t="s">
        <v>287</v>
      </c>
      <c r="D60" s="25" t="s">
        <v>99</v>
      </c>
      <c r="E60" s="25" t="s">
        <v>236</v>
      </c>
      <c r="F60" s="25" t="s">
        <v>236</v>
      </c>
      <c r="G60" s="25" t="s">
        <v>231</v>
      </c>
      <c r="H60" s="25" t="s">
        <v>148</v>
      </c>
      <c r="I60" s="25" t="s">
        <v>84</v>
      </c>
      <c r="J60" s="25" t="n">
        <v>4</v>
      </c>
      <c r="K60" s="25" t="n">
        <v>23</v>
      </c>
      <c r="L60" s="55" t="n">
        <v>97.9</v>
      </c>
      <c r="M60" s="25" t="n">
        <v>2.8</v>
      </c>
      <c r="N60" s="55" t="n">
        <v>3.9</v>
      </c>
      <c r="O60" s="25" t="s">
        <v>219</v>
      </c>
      <c r="P60" s="25" t="n">
        <v>0</v>
      </c>
      <c r="Q60" s="25" t="n">
        <v>36.6</v>
      </c>
      <c r="R60" s="25" t="n">
        <v>87.5</v>
      </c>
      <c r="S60" s="25" t="str">
        <f aca="false">IF(L60&gt;=90,"Top Performer",IF(L60&gt;=75,"High Performer",IF(L60&gt;=60,"Average","Needs Improvement")))</f>
        <v>Top Performer</v>
      </c>
      <c r="T60" s="25" t="str">
        <f aca="false">IF(J60&gt;=4,"Active","Low Usage")</f>
        <v>Active</v>
      </c>
    </row>
    <row r="61" customFormat="false" ht="15" hidden="false" customHeight="true" outlineLevel="0" collapsed="false">
      <c r="A61" s="56" t="n">
        <v>1060</v>
      </c>
      <c r="B61" s="56" t="s">
        <v>92</v>
      </c>
      <c r="C61" s="56" t="s">
        <v>288</v>
      </c>
      <c r="D61" s="56" t="s">
        <v>99</v>
      </c>
      <c r="E61" s="56" t="s">
        <v>230</v>
      </c>
      <c r="F61" s="56" t="s">
        <v>217</v>
      </c>
      <c r="G61" s="56" t="s">
        <v>231</v>
      </c>
      <c r="H61" s="56" t="s">
        <v>148</v>
      </c>
      <c r="I61" s="56" t="s">
        <v>80</v>
      </c>
      <c r="J61" s="56" t="n">
        <v>2.1</v>
      </c>
      <c r="K61" s="56" t="n">
        <v>28</v>
      </c>
      <c r="L61" s="56" t="n">
        <v>73.5</v>
      </c>
      <c r="M61" s="56" t="n">
        <v>1</v>
      </c>
      <c r="N61" s="56" t="n">
        <v>3.8</v>
      </c>
      <c r="O61" s="56" t="s">
        <v>228</v>
      </c>
      <c r="P61" s="56" t="n">
        <v>50</v>
      </c>
      <c r="Q61" s="56" t="n">
        <v>15.9</v>
      </c>
      <c r="R61" s="56" t="n">
        <v>63.1</v>
      </c>
      <c r="S61" s="56" t="str">
        <f aca="false">IF(L61&gt;=90,"Top Performer",IF(L61&gt;=75,"High Performer",IF(L61&gt;=60,"Average","Needs Improvement")))</f>
        <v>Average</v>
      </c>
      <c r="T61" s="56" t="str">
        <f aca="false">IF(J61&gt;=4,"Active","Low Usage")</f>
        <v>Low Usage</v>
      </c>
    </row>
    <row r="62" customFormat="false" ht="15" hidden="false" customHeight="true" outlineLevel="0" collapsed="false">
      <c r="A62" s="25" t="n">
        <v>1061</v>
      </c>
      <c r="B62" s="25" t="s">
        <v>111</v>
      </c>
      <c r="C62" s="25" t="s">
        <v>289</v>
      </c>
      <c r="D62" s="25" t="s">
        <v>101</v>
      </c>
      <c r="E62" s="25" t="s">
        <v>216</v>
      </c>
      <c r="F62" s="25" t="s">
        <v>234</v>
      </c>
      <c r="G62" s="25" t="s">
        <v>239</v>
      </c>
      <c r="H62" s="25" t="s">
        <v>149</v>
      </c>
      <c r="I62" s="25" t="s">
        <v>83</v>
      </c>
      <c r="J62" s="25" t="n">
        <v>1.8</v>
      </c>
      <c r="K62" s="25" t="n">
        <v>21</v>
      </c>
      <c r="L62" s="55" t="n">
        <v>74.8</v>
      </c>
      <c r="M62" s="25" t="n">
        <v>1.2</v>
      </c>
      <c r="N62" s="55" t="n">
        <v>4.8</v>
      </c>
      <c r="O62" s="25" t="s">
        <v>223</v>
      </c>
      <c r="P62" s="25" t="n">
        <v>22</v>
      </c>
      <c r="Q62" s="25" t="n">
        <v>33.7</v>
      </c>
      <c r="R62" s="25" t="n">
        <v>66.2</v>
      </c>
      <c r="S62" s="25" t="str">
        <f aca="false">IF(L62&gt;=90,"Top Performer",IF(L62&gt;=75,"High Performer",IF(L62&gt;=60,"Average","Needs Improvement")))</f>
        <v>Average</v>
      </c>
      <c r="T62" s="25" t="str">
        <f aca="false">IF(J62&gt;=4,"Active","Low Usage")</f>
        <v>Low Usage</v>
      </c>
    </row>
    <row r="63" customFormat="false" ht="15" hidden="false" customHeight="true" outlineLevel="0" collapsed="false">
      <c r="A63" s="56" t="n">
        <v>1062</v>
      </c>
      <c r="B63" s="56" t="s">
        <v>108</v>
      </c>
      <c r="C63" s="56" t="s">
        <v>267</v>
      </c>
      <c r="D63" s="56" t="s">
        <v>97</v>
      </c>
      <c r="E63" s="56" t="s">
        <v>233</v>
      </c>
      <c r="F63" s="56" t="s">
        <v>217</v>
      </c>
      <c r="G63" s="56" t="s">
        <v>222</v>
      </c>
      <c r="H63" s="56" t="s">
        <v>148</v>
      </c>
      <c r="I63" s="56" t="s">
        <v>83</v>
      </c>
      <c r="J63" s="56" t="n">
        <v>5.1</v>
      </c>
      <c r="K63" s="56" t="n">
        <v>17</v>
      </c>
      <c r="L63" s="56" t="n">
        <v>98</v>
      </c>
      <c r="M63" s="56" t="n">
        <v>3.8</v>
      </c>
      <c r="N63" s="56" t="n">
        <v>3.2</v>
      </c>
      <c r="O63" s="56" t="s">
        <v>223</v>
      </c>
      <c r="P63" s="56" t="n">
        <v>23</v>
      </c>
      <c r="Q63" s="56" t="n">
        <v>30.1</v>
      </c>
      <c r="R63" s="56" t="n">
        <v>98.7</v>
      </c>
      <c r="S63" s="56" t="str">
        <f aca="false">IF(L63&gt;=90,"Top Performer",IF(L63&gt;=75,"High Performer",IF(L63&gt;=60,"Average","Needs Improvement")))</f>
        <v>Top Performer</v>
      </c>
      <c r="T63" s="56" t="str">
        <f aca="false">IF(J63&gt;=4,"Active","Low Usage")</f>
        <v>Active</v>
      </c>
    </row>
    <row r="64" customFormat="false" ht="15" hidden="false" customHeight="true" outlineLevel="0" collapsed="false">
      <c r="A64" s="25" t="n">
        <v>1063</v>
      </c>
      <c r="B64" s="25" t="s">
        <v>92</v>
      </c>
      <c r="C64" s="25" t="s">
        <v>278</v>
      </c>
      <c r="D64" s="25" t="s">
        <v>93</v>
      </c>
      <c r="E64" s="25" t="s">
        <v>243</v>
      </c>
      <c r="F64" s="25" t="s">
        <v>236</v>
      </c>
      <c r="G64" s="25" t="s">
        <v>253</v>
      </c>
      <c r="H64" s="25" t="s">
        <v>148</v>
      </c>
      <c r="I64" s="25" t="s">
        <v>82</v>
      </c>
      <c r="J64" s="25" t="n">
        <v>5.5</v>
      </c>
      <c r="K64" s="25" t="n">
        <v>36</v>
      </c>
      <c r="L64" s="55" t="n">
        <v>90.8</v>
      </c>
      <c r="M64" s="25" t="n">
        <v>4.2</v>
      </c>
      <c r="N64" s="55" t="n">
        <v>4.6</v>
      </c>
      <c r="O64" s="25" t="s">
        <v>219</v>
      </c>
      <c r="P64" s="25" t="n">
        <v>0</v>
      </c>
      <c r="Q64" s="25" t="n">
        <v>31.2</v>
      </c>
      <c r="R64" s="25" t="n">
        <v>73.7</v>
      </c>
      <c r="S64" s="25" t="str">
        <f aca="false">IF(L64&gt;=90,"Top Performer",IF(L64&gt;=75,"High Performer",IF(L64&gt;=60,"Average","Needs Improvement")))</f>
        <v>Top Performer</v>
      </c>
      <c r="T64" s="25" t="str">
        <f aca="false">IF(J64&gt;=4,"Active","Low Usage")</f>
        <v>Active</v>
      </c>
    </row>
    <row r="65" customFormat="false" ht="15" hidden="false" customHeight="true" outlineLevel="0" collapsed="false">
      <c r="A65" s="56" t="n">
        <v>1064</v>
      </c>
      <c r="B65" s="56" t="s">
        <v>111</v>
      </c>
      <c r="C65" s="56" t="s">
        <v>290</v>
      </c>
      <c r="D65" s="56" t="s">
        <v>101</v>
      </c>
      <c r="E65" s="56" t="s">
        <v>236</v>
      </c>
      <c r="F65" s="56" t="s">
        <v>234</v>
      </c>
      <c r="G65" s="56" t="s">
        <v>248</v>
      </c>
      <c r="H65" s="56" t="s">
        <v>148</v>
      </c>
      <c r="I65" s="56" t="s">
        <v>81</v>
      </c>
      <c r="J65" s="56" t="n">
        <v>4.8</v>
      </c>
      <c r="K65" s="56" t="n">
        <v>7</v>
      </c>
      <c r="L65" s="56" t="n">
        <v>79.9</v>
      </c>
      <c r="M65" s="56" t="n">
        <v>3.3</v>
      </c>
      <c r="N65" s="56" t="n">
        <v>3.2</v>
      </c>
      <c r="O65" s="56" t="s">
        <v>223</v>
      </c>
      <c r="P65" s="56" t="n">
        <v>23</v>
      </c>
      <c r="Q65" s="56" t="n">
        <v>36.2</v>
      </c>
      <c r="R65" s="56" t="n">
        <v>66.8</v>
      </c>
      <c r="S65" s="56" t="str">
        <f aca="false">IF(L65&gt;=90,"Top Performer",IF(L65&gt;=75,"High Performer",IF(L65&gt;=60,"Average","Needs Improvement")))</f>
        <v>High Performer</v>
      </c>
      <c r="T65" s="56" t="str">
        <f aca="false">IF(J65&gt;=4,"Active","Low Usage")</f>
        <v>Active</v>
      </c>
    </row>
    <row r="66" customFormat="false" ht="15" hidden="false" customHeight="true" outlineLevel="0" collapsed="false">
      <c r="A66" s="25" t="n">
        <v>1065</v>
      </c>
      <c r="B66" s="25" t="s">
        <v>110</v>
      </c>
      <c r="C66" s="25" t="s">
        <v>291</v>
      </c>
      <c r="D66" s="25" t="s">
        <v>101</v>
      </c>
      <c r="E66" s="25" t="s">
        <v>236</v>
      </c>
      <c r="F66" s="25" t="s">
        <v>221</v>
      </c>
      <c r="G66" s="25" t="s">
        <v>253</v>
      </c>
      <c r="H66" s="25" t="s">
        <v>148</v>
      </c>
      <c r="I66" s="25" t="s">
        <v>81</v>
      </c>
      <c r="J66" s="25" t="n">
        <v>5.5</v>
      </c>
      <c r="K66" s="25" t="n">
        <v>35</v>
      </c>
      <c r="L66" s="55" t="n">
        <v>96.6</v>
      </c>
      <c r="M66" s="25" t="n">
        <v>2.8</v>
      </c>
      <c r="N66" s="55" t="n">
        <v>4.7</v>
      </c>
      <c r="O66" s="25" t="s">
        <v>219</v>
      </c>
      <c r="P66" s="25" t="n">
        <v>0</v>
      </c>
      <c r="Q66" s="25" t="n">
        <v>26.4</v>
      </c>
      <c r="R66" s="25" t="n">
        <v>62.9</v>
      </c>
      <c r="S66" s="25" t="str">
        <f aca="false">IF(L66&gt;=90,"Top Performer",IF(L66&gt;=75,"High Performer",IF(L66&gt;=60,"Average","Needs Improvement")))</f>
        <v>Top Performer</v>
      </c>
      <c r="T66" s="25" t="str">
        <f aca="false">IF(J66&gt;=4,"Active","Low Usage")</f>
        <v>Active</v>
      </c>
    </row>
    <row r="67" customFormat="false" ht="15" hidden="false" customHeight="true" outlineLevel="0" collapsed="false">
      <c r="A67" s="56" t="n">
        <v>1066</v>
      </c>
      <c r="B67" s="56" t="s">
        <v>94</v>
      </c>
      <c r="C67" s="56" t="s">
        <v>282</v>
      </c>
      <c r="D67" s="56" t="s">
        <v>99</v>
      </c>
      <c r="E67" s="56" t="s">
        <v>243</v>
      </c>
      <c r="F67" s="56" t="s">
        <v>221</v>
      </c>
      <c r="G67" s="56" t="s">
        <v>227</v>
      </c>
      <c r="H67" s="56" t="s">
        <v>148</v>
      </c>
      <c r="I67" s="56" t="s">
        <v>81</v>
      </c>
      <c r="J67" s="56" t="n">
        <v>2</v>
      </c>
      <c r="K67" s="56" t="n">
        <v>12</v>
      </c>
      <c r="L67" s="56" t="n">
        <v>74.6</v>
      </c>
      <c r="M67" s="56" t="n">
        <v>1.3</v>
      </c>
      <c r="N67" s="56" t="n">
        <v>4.3</v>
      </c>
      <c r="O67" s="56" t="s">
        <v>228</v>
      </c>
      <c r="P67" s="56" t="n">
        <v>54</v>
      </c>
      <c r="Q67" s="56" t="n">
        <v>38.8</v>
      </c>
      <c r="R67" s="56" t="n">
        <v>96.7</v>
      </c>
      <c r="S67" s="56" t="str">
        <f aca="false">IF(L67&gt;=90,"Top Performer",IF(L67&gt;=75,"High Performer",IF(L67&gt;=60,"Average","Needs Improvement")))</f>
        <v>Average</v>
      </c>
      <c r="T67" s="56" t="str">
        <f aca="false">IF(J67&gt;=4,"Active","Low Usage")</f>
        <v>Low Usage</v>
      </c>
    </row>
    <row r="68" customFormat="false" ht="15" hidden="false" customHeight="true" outlineLevel="0" collapsed="false">
      <c r="A68" s="25" t="n">
        <v>1067</v>
      </c>
      <c r="B68" s="25" t="s">
        <v>111</v>
      </c>
      <c r="C68" s="25" t="s">
        <v>292</v>
      </c>
      <c r="D68" s="25" t="s">
        <v>95</v>
      </c>
      <c r="E68" s="25" t="s">
        <v>225</v>
      </c>
      <c r="F68" s="25" t="s">
        <v>226</v>
      </c>
      <c r="G68" s="25" t="s">
        <v>227</v>
      </c>
      <c r="H68" s="25" t="s">
        <v>148</v>
      </c>
      <c r="I68" s="25" t="s">
        <v>80</v>
      </c>
      <c r="J68" s="25" t="n">
        <v>4.1</v>
      </c>
      <c r="K68" s="25" t="n">
        <v>34</v>
      </c>
      <c r="L68" s="55" t="n">
        <v>94.1</v>
      </c>
      <c r="M68" s="25" t="n">
        <v>2.1</v>
      </c>
      <c r="N68" s="55" t="n">
        <v>3.8</v>
      </c>
      <c r="O68" s="25" t="s">
        <v>219</v>
      </c>
      <c r="P68" s="25" t="n">
        <v>0</v>
      </c>
      <c r="Q68" s="25" t="n">
        <v>11.6</v>
      </c>
      <c r="R68" s="25" t="n">
        <v>61.5</v>
      </c>
      <c r="S68" s="25" t="str">
        <f aca="false">IF(L68&gt;=90,"Top Performer",IF(L68&gt;=75,"High Performer",IF(L68&gt;=60,"Average","Needs Improvement")))</f>
        <v>Top Performer</v>
      </c>
      <c r="T68" s="25" t="str">
        <f aca="false">IF(J68&gt;=4,"Active","Low Usage")</f>
        <v>Active</v>
      </c>
    </row>
    <row r="69" customFormat="false" ht="15" hidden="false" customHeight="true" outlineLevel="0" collapsed="false">
      <c r="A69" s="56" t="n">
        <v>1068</v>
      </c>
      <c r="B69" s="56" t="s">
        <v>103</v>
      </c>
      <c r="C69" s="56" t="s">
        <v>293</v>
      </c>
      <c r="D69" s="56" t="s">
        <v>93</v>
      </c>
      <c r="E69" s="56" t="s">
        <v>249</v>
      </c>
      <c r="F69" s="56" t="s">
        <v>234</v>
      </c>
      <c r="G69" s="56" t="s">
        <v>241</v>
      </c>
      <c r="H69" s="56" t="s">
        <v>148</v>
      </c>
      <c r="I69" s="56" t="s">
        <v>83</v>
      </c>
      <c r="J69" s="56" t="n">
        <v>4.2</v>
      </c>
      <c r="K69" s="56" t="n">
        <v>39</v>
      </c>
      <c r="L69" s="56" t="n">
        <v>73</v>
      </c>
      <c r="M69" s="56" t="n">
        <v>2.9</v>
      </c>
      <c r="N69" s="56" t="n">
        <v>3.3</v>
      </c>
      <c r="O69" s="56" t="s">
        <v>223</v>
      </c>
      <c r="P69" s="56" t="n">
        <v>19</v>
      </c>
      <c r="Q69" s="56" t="n">
        <v>39.2</v>
      </c>
      <c r="R69" s="56" t="n">
        <v>84</v>
      </c>
      <c r="S69" s="56" t="str">
        <f aca="false">IF(L69&gt;=90,"Top Performer",IF(L69&gt;=75,"High Performer",IF(L69&gt;=60,"Average","Needs Improvement")))</f>
        <v>Average</v>
      </c>
      <c r="T69" s="56" t="str">
        <f aca="false">IF(J69&gt;=4,"Active","Low Usage")</f>
        <v>Active</v>
      </c>
    </row>
    <row r="70" customFormat="false" ht="15" hidden="false" customHeight="true" outlineLevel="0" collapsed="false">
      <c r="A70" s="25" t="n">
        <v>1069</v>
      </c>
      <c r="B70" s="25" t="s">
        <v>104</v>
      </c>
      <c r="C70" s="25" t="s">
        <v>294</v>
      </c>
      <c r="D70" s="25" t="s">
        <v>93</v>
      </c>
      <c r="E70" s="25" t="s">
        <v>216</v>
      </c>
      <c r="F70" s="25" t="s">
        <v>217</v>
      </c>
      <c r="G70" s="25" t="s">
        <v>218</v>
      </c>
      <c r="H70" s="25" t="s">
        <v>148</v>
      </c>
      <c r="I70" s="25" t="s">
        <v>82</v>
      </c>
      <c r="J70" s="25" t="n">
        <v>5.2</v>
      </c>
      <c r="K70" s="25" t="n">
        <v>11</v>
      </c>
      <c r="L70" s="55" t="n">
        <v>97.2</v>
      </c>
      <c r="M70" s="25" t="n">
        <v>2.8</v>
      </c>
      <c r="N70" s="55" t="n">
        <v>4.8</v>
      </c>
      <c r="O70" s="25" t="s">
        <v>228</v>
      </c>
      <c r="P70" s="25" t="n">
        <v>53</v>
      </c>
      <c r="Q70" s="25" t="n">
        <v>12.1</v>
      </c>
      <c r="R70" s="25" t="n">
        <v>70.8</v>
      </c>
      <c r="S70" s="25" t="str">
        <f aca="false">IF(L70&gt;=90,"Top Performer",IF(L70&gt;=75,"High Performer",IF(L70&gt;=60,"Average","Needs Improvement")))</f>
        <v>Top Performer</v>
      </c>
      <c r="T70" s="25" t="str">
        <f aca="false">IF(J70&gt;=4,"Active","Low Usage")</f>
        <v>Active</v>
      </c>
    </row>
    <row r="71" customFormat="false" ht="15" hidden="false" customHeight="true" outlineLevel="0" collapsed="false">
      <c r="A71" s="56" t="n">
        <v>1070</v>
      </c>
      <c r="B71" s="56" t="s">
        <v>92</v>
      </c>
      <c r="C71" s="56" t="s">
        <v>252</v>
      </c>
      <c r="D71" s="56" t="s">
        <v>99</v>
      </c>
      <c r="E71" s="56" t="s">
        <v>249</v>
      </c>
      <c r="F71" s="56" t="s">
        <v>234</v>
      </c>
      <c r="G71" s="56" t="s">
        <v>231</v>
      </c>
      <c r="H71" s="56" t="s">
        <v>148</v>
      </c>
      <c r="I71" s="56" t="s">
        <v>80</v>
      </c>
      <c r="J71" s="56" t="n">
        <v>5.9</v>
      </c>
      <c r="K71" s="56" t="n">
        <v>18</v>
      </c>
      <c r="L71" s="56" t="n">
        <v>58</v>
      </c>
      <c r="M71" s="56" t="n">
        <v>4.2</v>
      </c>
      <c r="N71" s="56" t="n">
        <v>3.4</v>
      </c>
      <c r="O71" s="56" t="s">
        <v>219</v>
      </c>
      <c r="P71" s="56" t="n">
        <v>0</v>
      </c>
      <c r="Q71" s="56" t="n">
        <v>38.5</v>
      </c>
      <c r="R71" s="56" t="n">
        <v>69.1</v>
      </c>
      <c r="S71" s="56" t="str">
        <f aca="false">IF(L71&gt;=90,"Top Performer",IF(L71&gt;=75,"High Performer",IF(L71&gt;=60,"Average","Needs Improvement")))</f>
        <v>Needs Improvement</v>
      </c>
      <c r="T71" s="56" t="str">
        <f aca="false">IF(J71&gt;=4,"Active","Low Usage")</f>
        <v>Active</v>
      </c>
    </row>
    <row r="72" customFormat="false" ht="15" hidden="false" customHeight="true" outlineLevel="0" collapsed="false">
      <c r="A72" s="25" t="n">
        <v>1071</v>
      </c>
      <c r="B72" s="25" t="s">
        <v>96</v>
      </c>
      <c r="C72" s="25" t="s">
        <v>295</v>
      </c>
      <c r="D72" s="25" t="s">
        <v>101</v>
      </c>
      <c r="E72" s="25" t="s">
        <v>249</v>
      </c>
      <c r="F72" s="25" t="s">
        <v>217</v>
      </c>
      <c r="G72" s="25" t="s">
        <v>241</v>
      </c>
      <c r="H72" s="25" t="s">
        <v>148</v>
      </c>
      <c r="I72" s="25" t="s">
        <v>81</v>
      </c>
      <c r="J72" s="25" t="n">
        <v>4.9</v>
      </c>
      <c r="K72" s="25" t="n">
        <v>12</v>
      </c>
      <c r="L72" s="55" t="n">
        <v>83.4</v>
      </c>
      <c r="M72" s="25" t="n">
        <v>2</v>
      </c>
      <c r="N72" s="55" t="n">
        <v>3</v>
      </c>
      <c r="O72" s="25" t="s">
        <v>219</v>
      </c>
      <c r="P72" s="25" t="n">
        <v>0</v>
      </c>
      <c r="Q72" s="25" t="n">
        <v>30.6</v>
      </c>
      <c r="R72" s="25" t="n">
        <v>60.6</v>
      </c>
      <c r="S72" s="25" t="str">
        <f aca="false">IF(L72&gt;=90,"Top Performer",IF(L72&gt;=75,"High Performer",IF(L72&gt;=60,"Average","Needs Improvement")))</f>
        <v>High Performer</v>
      </c>
      <c r="T72" s="25" t="str">
        <f aca="false">IF(J72&gt;=4,"Active","Low Usage")</f>
        <v>Active</v>
      </c>
    </row>
    <row r="73" customFormat="false" ht="15" hidden="false" customHeight="true" outlineLevel="0" collapsed="false">
      <c r="A73" s="56" t="n">
        <v>1072</v>
      </c>
      <c r="B73" s="56" t="s">
        <v>108</v>
      </c>
      <c r="C73" s="56" t="s">
        <v>296</v>
      </c>
      <c r="D73" s="56" t="s">
        <v>93</v>
      </c>
      <c r="E73" s="56" t="s">
        <v>230</v>
      </c>
      <c r="F73" s="56" t="s">
        <v>236</v>
      </c>
      <c r="G73" s="56" t="s">
        <v>248</v>
      </c>
      <c r="H73" s="56" t="s">
        <v>148</v>
      </c>
      <c r="I73" s="56" t="s">
        <v>82</v>
      </c>
      <c r="J73" s="56" t="n">
        <v>3</v>
      </c>
      <c r="K73" s="56" t="n">
        <v>28</v>
      </c>
      <c r="L73" s="56" t="n">
        <v>77.1</v>
      </c>
      <c r="M73" s="56" t="n">
        <v>1.3</v>
      </c>
      <c r="N73" s="56" t="n">
        <v>4</v>
      </c>
      <c r="O73" s="56" t="s">
        <v>228</v>
      </c>
      <c r="P73" s="56" t="n">
        <v>48</v>
      </c>
      <c r="Q73" s="56" t="n">
        <v>35.5</v>
      </c>
      <c r="R73" s="56" t="n">
        <v>95.4</v>
      </c>
      <c r="S73" s="56" t="str">
        <f aca="false">IF(L73&gt;=90,"Top Performer",IF(L73&gt;=75,"High Performer",IF(L73&gt;=60,"Average","Needs Improvement")))</f>
        <v>High Performer</v>
      </c>
      <c r="T73" s="56" t="str">
        <f aca="false">IF(J73&gt;=4,"Active","Low Usage")</f>
        <v>Low Usage</v>
      </c>
    </row>
    <row r="74" customFormat="false" ht="15" hidden="false" customHeight="true" outlineLevel="0" collapsed="false">
      <c r="A74" s="25" t="n">
        <v>1073</v>
      </c>
      <c r="B74" s="25" t="s">
        <v>104</v>
      </c>
      <c r="C74" s="25" t="s">
        <v>269</v>
      </c>
      <c r="D74" s="25" t="s">
        <v>97</v>
      </c>
      <c r="E74" s="25" t="s">
        <v>225</v>
      </c>
      <c r="F74" s="25" t="s">
        <v>226</v>
      </c>
      <c r="G74" s="25" t="s">
        <v>231</v>
      </c>
      <c r="H74" s="25" t="s">
        <v>148</v>
      </c>
      <c r="I74" s="25" t="s">
        <v>84</v>
      </c>
      <c r="J74" s="25" t="n">
        <v>4.3</v>
      </c>
      <c r="K74" s="25" t="n">
        <v>36</v>
      </c>
      <c r="L74" s="55" t="n">
        <v>85.6</v>
      </c>
      <c r="M74" s="25" t="n">
        <v>2.5</v>
      </c>
      <c r="N74" s="55" t="n">
        <v>4.8</v>
      </c>
      <c r="O74" s="25" t="s">
        <v>223</v>
      </c>
      <c r="P74" s="25" t="n">
        <v>20</v>
      </c>
      <c r="Q74" s="25" t="n">
        <v>12.3</v>
      </c>
      <c r="R74" s="25" t="n">
        <v>70.7</v>
      </c>
      <c r="S74" s="25" t="str">
        <f aca="false">IF(L74&gt;=90,"Top Performer",IF(L74&gt;=75,"High Performer",IF(L74&gt;=60,"Average","Needs Improvement")))</f>
        <v>High Performer</v>
      </c>
      <c r="T74" s="25" t="str">
        <f aca="false">IF(J74&gt;=4,"Active","Low Usage")</f>
        <v>Active</v>
      </c>
    </row>
    <row r="75" customFormat="false" ht="15" hidden="false" customHeight="true" outlineLevel="0" collapsed="false">
      <c r="A75" s="56" t="n">
        <v>1074</v>
      </c>
      <c r="B75" s="56" t="s">
        <v>106</v>
      </c>
      <c r="C75" s="56" t="s">
        <v>297</v>
      </c>
      <c r="D75" s="56" t="s">
        <v>101</v>
      </c>
      <c r="E75" s="56" t="s">
        <v>216</v>
      </c>
      <c r="F75" s="56" t="s">
        <v>217</v>
      </c>
      <c r="G75" s="56" t="s">
        <v>222</v>
      </c>
      <c r="H75" s="56" t="s">
        <v>148</v>
      </c>
      <c r="I75" s="56" t="s">
        <v>84</v>
      </c>
      <c r="J75" s="56" t="n">
        <v>3</v>
      </c>
      <c r="K75" s="56" t="n">
        <v>32</v>
      </c>
      <c r="L75" s="56" t="n">
        <v>59.3</v>
      </c>
      <c r="M75" s="56" t="n">
        <v>2</v>
      </c>
      <c r="N75" s="56" t="n">
        <v>4.7</v>
      </c>
      <c r="O75" s="56" t="s">
        <v>228</v>
      </c>
      <c r="P75" s="56" t="n">
        <v>51</v>
      </c>
      <c r="Q75" s="56" t="n">
        <v>25.1</v>
      </c>
      <c r="R75" s="56" t="n">
        <v>94.6</v>
      </c>
      <c r="S75" s="56" t="str">
        <f aca="false">IF(L75&gt;=90,"Top Performer",IF(L75&gt;=75,"High Performer",IF(L75&gt;=60,"Average","Needs Improvement")))</f>
        <v>Needs Improvement</v>
      </c>
      <c r="T75" s="56" t="str">
        <f aca="false">IF(J75&gt;=4,"Active","Low Usage")</f>
        <v>Low Usage</v>
      </c>
    </row>
    <row r="76" customFormat="false" ht="15" hidden="false" customHeight="true" outlineLevel="0" collapsed="false">
      <c r="A76" s="25" t="n">
        <v>1075</v>
      </c>
      <c r="B76" s="25" t="s">
        <v>103</v>
      </c>
      <c r="C76" s="25" t="s">
        <v>298</v>
      </c>
      <c r="D76" s="25" t="s">
        <v>97</v>
      </c>
      <c r="E76" s="25" t="s">
        <v>243</v>
      </c>
      <c r="F76" s="25" t="s">
        <v>236</v>
      </c>
      <c r="G76" s="25" t="s">
        <v>222</v>
      </c>
      <c r="H76" s="25" t="s">
        <v>148</v>
      </c>
      <c r="I76" s="25" t="s">
        <v>83</v>
      </c>
      <c r="J76" s="25" t="n">
        <v>2.8</v>
      </c>
      <c r="K76" s="25" t="n">
        <v>21</v>
      </c>
      <c r="L76" s="55" t="n">
        <v>71.1</v>
      </c>
      <c r="M76" s="25" t="n">
        <v>1.3</v>
      </c>
      <c r="N76" s="55" t="n">
        <v>4.8</v>
      </c>
      <c r="O76" s="25" t="s">
        <v>219</v>
      </c>
      <c r="P76" s="25" t="n">
        <v>0</v>
      </c>
      <c r="Q76" s="25" t="n">
        <v>13.2</v>
      </c>
      <c r="R76" s="25" t="n">
        <v>63.3</v>
      </c>
      <c r="S76" s="25" t="str">
        <f aca="false">IF(L76&gt;=90,"Top Performer",IF(L76&gt;=75,"High Performer",IF(L76&gt;=60,"Average","Needs Improvement")))</f>
        <v>Average</v>
      </c>
      <c r="T76" s="25" t="str">
        <f aca="false">IF(J76&gt;=4,"Active","Low Usage")</f>
        <v>Low Usage</v>
      </c>
    </row>
    <row r="77" customFormat="false" ht="15" hidden="false" customHeight="true" outlineLevel="0" collapsed="false">
      <c r="A77" s="56" t="n">
        <v>1076</v>
      </c>
      <c r="B77" s="56" t="s">
        <v>105</v>
      </c>
      <c r="C77" s="56" t="s">
        <v>299</v>
      </c>
      <c r="D77" s="56" t="s">
        <v>93</v>
      </c>
      <c r="E77" s="56" t="s">
        <v>216</v>
      </c>
      <c r="F77" s="56" t="s">
        <v>217</v>
      </c>
      <c r="G77" s="56" t="s">
        <v>241</v>
      </c>
      <c r="H77" s="56" t="s">
        <v>148</v>
      </c>
      <c r="I77" s="56" t="s">
        <v>83</v>
      </c>
      <c r="J77" s="56" t="n">
        <v>4.2</v>
      </c>
      <c r="K77" s="56" t="n">
        <v>31</v>
      </c>
      <c r="L77" s="56" t="n">
        <v>70.2</v>
      </c>
      <c r="M77" s="56" t="n">
        <v>2.8</v>
      </c>
      <c r="N77" s="56" t="n">
        <v>4.5</v>
      </c>
      <c r="O77" s="56" t="s">
        <v>228</v>
      </c>
      <c r="P77" s="56" t="n">
        <v>48</v>
      </c>
      <c r="Q77" s="56" t="n">
        <v>43.9</v>
      </c>
      <c r="R77" s="56" t="n">
        <v>83.4</v>
      </c>
      <c r="S77" s="56" t="str">
        <f aca="false">IF(L77&gt;=90,"Top Performer",IF(L77&gt;=75,"High Performer",IF(L77&gt;=60,"Average","Needs Improvement")))</f>
        <v>Average</v>
      </c>
      <c r="T77" s="56" t="str">
        <f aca="false">IF(J77&gt;=4,"Active","Low Usage")</f>
        <v>Active</v>
      </c>
    </row>
    <row r="78" customFormat="false" ht="15" hidden="false" customHeight="true" outlineLevel="0" collapsed="false">
      <c r="A78" s="25" t="n">
        <v>1077</v>
      </c>
      <c r="B78" s="25" t="s">
        <v>96</v>
      </c>
      <c r="C78" s="25" t="s">
        <v>300</v>
      </c>
      <c r="D78" s="25" t="s">
        <v>93</v>
      </c>
      <c r="E78" s="25" t="s">
        <v>233</v>
      </c>
      <c r="F78" s="25" t="s">
        <v>221</v>
      </c>
      <c r="G78" s="25" t="s">
        <v>218</v>
      </c>
      <c r="H78" s="25" t="s">
        <v>148</v>
      </c>
      <c r="I78" s="25" t="s">
        <v>82</v>
      </c>
      <c r="J78" s="25" t="n">
        <v>5.2</v>
      </c>
      <c r="K78" s="25" t="n">
        <v>27</v>
      </c>
      <c r="L78" s="55" t="n">
        <v>91.4</v>
      </c>
      <c r="M78" s="25" t="n">
        <v>2.8</v>
      </c>
      <c r="N78" s="55" t="n">
        <v>4.5</v>
      </c>
      <c r="O78" s="25" t="s">
        <v>228</v>
      </c>
      <c r="P78" s="25" t="n">
        <v>51</v>
      </c>
      <c r="Q78" s="25" t="n">
        <v>38.3</v>
      </c>
      <c r="R78" s="25" t="n">
        <v>93</v>
      </c>
      <c r="S78" s="25" t="str">
        <f aca="false">IF(L78&gt;=90,"Top Performer",IF(L78&gt;=75,"High Performer",IF(L78&gt;=60,"Average","Needs Improvement")))</f>
        <v>Top Performer</v>
      </c>
      <c r="T78" s="25" t="str">
        <f aca="false">IF(J78&gt;=4,"Active","Low Usage")</f>
        <v>Active</v>
      </c>
    </row>
    <row r="79" customFormat="false" ht="15" hidden="false" customHeight="true" outlineLevel="0" collapsed="false">
      <c r="A79" s="56" t="n">
        <v>1078</v>
      </c>
      <c r="B79" s="56" t="s">
        <v>106</v>
      </c>
      <c r="C79" s="56" t="s">
        <v>238</v>
      </c>
      <c r="D79" s="56" t="s">
        <v>101</v>
      </c>
      <c r="E79" s="56" t="s">
        <v>216</v>
      </c>
      <c r="F79" s="56" t="s">
        <v>221</v>
      </c>
      <c r="G79" s="56" t="s">
        <v>231</v>
      </c>
      <c r="H79" s="56" t="s">
        <v>148</v>
      </c>
      <c r="I79" s="56" t="s">
        <v>84</v>
      </c>
      <c r="J79" s="56" t="n">
        <v>1.5</v>
      </c>
      <c r="K79" s="56" t="n">
        <v>24</v>
      </c>
      <c r="L79" s="56" t="n">
        <v>94.6</v>
      </c>
      <c r="M79" s="56" t="n">
        <v>0.8</v>
      </c>
      <c r="N79" s="56" t="n">
        <v>3.4</v>
      </c>
      <c r="O79" s="56" t="s">
        <v>219</v>
      </c>
      <c r="P79" s="56" t="n">
        <v>0</v>
      </c>
      <c r="Q79" s="56" t="n">
        <v>29.8</v>
      </c>
      <c r="R79" s="56" t="n">
        <v>75.6</v>
      </c>
      <c r="S79" s="56" t="str">
        <f aca="false">IF(L79&gt;=90,"Top Performer",IF(L79&gt;=75,"High Performer",IF(L79&gt;=60,"Average","Needs Improvement")))</f>
        <v>Top Performer</v>
      </c>
      <c r="T79" s="56" t="str">
        <f aca="false">IF(J79&gt;=4,"Active","Low Usage")</f>
        <v>Low Usage</v>
      </c>
    </row>
    <row r="80" customFormat="false" ht="15" hidden="false" customHeight="true" outlineLevel="0" collapsed="false">
      <c r="A80" s="25" t="n">
        <v>1079</v>
      </c>
      <c r="B80" s="25" t="s">
        <v>103</v>
      </c>
      <c r="C80" s="25" t="s">
        <v>301</v>
      </c>
      <c r="D80" s="25" t="s">
        <v>93</v>
      </c>
      <c r="E80" s="25" t="s">
        <v>249</v>
      </c>
      <c r="F80" s="25" t="s">
        <v>221</v>
      </c>
      <c r="G80" s="25" t="s">
        <v>218</v>
      </c>
      <c r="H80" s="25" t="s">
        <v>148</v>
      </c>
      <c r="I80" s="25" t="s">
        <v>81</v>
      </c>
      <c r="J80" s="25" t="n">
        <v>2.4</v>
      </c>
      <c r="K80" s="25" t="n">
        <v>28</v>
      </c>
      <c r="L80" s="55" t="n">
        <v>68.4</v>
      </c>
      <c r="M80" s="25" t="n">
        <v>1.3</v>
      </c>
      <c r="N80" s="55" t="n">
        <v>4.9</v>
      </c>
      <c r="O80" s="25" t="s">
        <v>228</v>
      </c>
      <c r="P80" s="25" t="n">
        <v>49</v>
      </c>
      <c r="Q80" s="25" t="n">
        <v>40.9</v>
      </c>
      <c r="R80" s="25" t="n">
        <v>66.1</v>
      </c>
      <c r="S80" s="25" t="str">
        <f aca="false">IF(L80&gt;=90,"Top Performer",IF(L80&gt;=75,"High Performer",IF(L80&gt;=60,"Average","Needs Improvement")))</f>
        <v>Average</v>
      </c>
      <c r="T80" s="25" t="str">
        <f aca="false">IF(J80&gt;=4,"Active","Low Usage")</f>
        <v>Low Usage</v>
      </c>
    </row>
    <row r="81" customFormat="false" ht="15" hidden="false" customHeight="true" outlineLevel="0" collapsed="false">
      <c r="A81" s="56" t="n">
        <v>1080</v>
      </c>
      <c r="B81" s="56" t="s">
        <v>104</v>
      </c>
      <c r="C81" s="56" t="s">
        <v>301</v>
      </c>
      <c r="D81" s="56" t="s">
        <v>93</v>
      </c>
      <c r="E81" s="56" t="s">
        <v>216</v>
      </c>
      <c r="F81" s="56" t="s">
        <v>226</v>
      </c>
      <c r="G81" s="56" t="s">
        <v>253</v>
      </c>
      <c r="H81" s="56" t="s">
        <v>148</v>
      </c>
      <c r="I81" s="56" t="s">
        <v>84</v>
      </c>
      <c r="J81" s="56" t="n">
        <v>3.8</v>
      </c>
      <c r="K81" s="56" t="n">
        <v>31</v>
      </c>
      <c r="L81" s="56" t="n">
        <v>66.7</v>
      </c>
      <c r="M81" s="56" t="n">
        <v>2.7</v>
      </c>
      <c r="N81" s="56" t="n">
        <v>3.2</v>
      </c>
      <c r="O81" s="56" t="s">
        <v>223</v>
      </c>
      <c r="P81" s="56" t="n">
        <v>19</v>
      </c>
      <c r="Q81" s="56" t="n">
        <v>19.9</v>
      </c>
      <c r="R81" s="56" t="n">
        <v>86.5</v>
      </c>
      <c r="S81" s="56" t="str">
        <f aca="false">IF(L81&gt;=90,"Top Performer",IF(L81&gt;=75,"High Performer",IF(L81&gt;=60,"Average","Needs Improvement")))</f>
        <v>Average</v>
      </c>
      <c r="T81" s="56" t="str">
        <f aca="false">IF(J81&gt;=4,"Active","Low Usage")</f>
        <v>Low Usage</v>
      </c>
    </row>
    <row r="82" customFormat="false" ht="15" hidden="false" customHeight="true" outlineLevel="0" collapsed="false">
      <c r="A82" s="25" t="n">
        <v>1081</v>
      </c>
      <c r="B82" s="25" t="s">
        <v>98</v>
      </c>
      <c r="C82" s="25" t="s">
        <v>282</v>
      </c>
      <c r="D82" s="25" t="s">
        <v>101</v>
      </c>
      <c r="E82" s="25" t="s">
        <v>216</v>
      </c>
      <c r="F82" s="25" t="s">
        <v>217</v>
      </c>
      <c r="G82" s="25" t="s">
        <v>231</v>
      </c>
      <c r="H82" s="25" t="s">
        <v>148</v>
      </c>
      <c r="I82" s="25" t="s">
        <v>83</v>
      </c>
      <c r="J82" s="25" t="n">
        <v>0.5</v>
      </c>
      <c r="K82" s="25" t="n">
        <v>24</v>
      </c>
      <c r="L82" s="55" t="n">
        <v>95.6</v>
      </c>
      <c r="M82" s="25" t="n">
        <v>0.4</v>
      </c>
      <c r="N82" s="55" t="n">
        <v>4.5</v>
      </c>
      <c r="O82" s="25" t="s">
        <v>223</v>
      </c>
      <c r="P82" s="25" t="n">
        <v>23</v>
      </c>
      <c r="Q82" s="25" t="n">
        <v>14.2</v>
      </c>
      <c r="R82" s="25" t="n">
        <v>79.4</v>
      </c>
      <c r="S82" s="25" t="str">
        <f aca="false">IF(L82&gt;=90,"Top Performer",IF(L82&gt;=75,"High Performer",IF(L82&gt;=60,"Average","Needs Improvement")))</f>
        <v>Top Performer</v>
      </c>
      <c r="T82" s="25" t="str">
        <f aca="false">IF(J82&gt;=4,"Active","Low Usage")</f>
        <v>Low Usage</v>
      </c>
    </row>
    <row r="83" customFormat="false" ht="15" hidden="false" customHeight="true" outlineLevel="0" collapsed="false">
      <c r="A83" s="56" t="n">
        <v>1082</v>
      </c>
      <c r="B83" s="56" t="s">
        <v>105</v>
      </c>
      <c r="C83" s="56" t="s">
        <v>276</v>
      </c>
      <c r="D83" s="56" t="s">
        <v>95</v>
      </c>
      <c r="E83" s="56" t="s">
        <v>230</v>
      </c>
      <c r="F83" s="56" t="s">
        <v>236</v>
      </c>
      <c r="G83" s="56" t="s">
        <v>218</v>
      </c>
      <c r="H83" s="56" t="s">
        <v>148</v>
      </c>
      <c r="I83" s="56" t="s">
        <v>83</v>
      </c>
      <c r="J83" s="56" t="n">
        <v>0.9</v>
      </c>
      <c r="K83" s="56" t="n">
        <v>7</v>
      </c>
      <c r="L83" s="56" t="n">
        <v>73.8</v>
      </c>
      <c r="M83" s="56" t="n">
        <v>0.5</v>
      </c>
      <c r="N83" s="56" t="n">
        <v>3.2</v>
      </c>
      <c r="O83" s="56" t="s">
        <v>223</v>
      </c>
      <c r="P83" s="56" t="n">
        <v>24</v>
      </c>
      <c r="Q83" s="56" t="n">
        <v>30.1</v>
      </c>
      <c r="R83" s="56" t="n">
        <v>87.7</v>
      </c>
      <c r="S83" s="56" t="str">
        <f aca="false">IF(L83&gt;=90,"Top Performer",IF(L83&gt;=75,"High Performer",IF(L83&gt;=60,"Average","Needs Improvement")))</f>
        <v>Average</v>
      </c>
      <c r="T83" s="56" t="str">
        <f aca="false">IF(J83&gt;=4,"Active","Low Usage")</f>
        <v>Low Usage</v>
      </c>
    </row>
    <row r="84" customFormat="false" ht="15" hidden="false" customHeight="true" outlineLevel="0" collapsed="false">
      <c r="A84" s="25" t="n">
        <v>1083</v>
      </c>
      <c r="B84" s="25" t="s">
        <v>102</v>
      </c>
      <c r="C84" s="25" t="s">
        <v>302</v>
      </c>
      <c r="D84" s="25" t="s">
        <v>97</v>
      </c>
      <c r="E84" s="25" t="s">
        <v>249</v>
      </c>
      <c r="F84" s="25" t="s">
        <v>236</v>
      </c>
      <c r="G84" s="25" t="s">
        <v>231</v>
      </c>
      <c r="H84" s="25" t="s">
        <v>148</v>
      </c>
      <c r="I84" s="25" t="s">
        <v>83</v>
      </c>
      <c r="J84" s="25" t="n">
        <v>5.1</v>
      </c>
      <c r="K84" s="25" t="n">
        <v>28</v>
      </c>
      <c r="L84" s="55" t="n">
        <v>58.8</v>
      </c>
      <c r="M84" s="25" t="n">
        <v>3.8</v>
      </c>
      <c r="N84" s="55" t="n">
        <v>3.5</v>
      </c>
      <c r="O84" s="25" t="s">
        <v>228</v>
      </c>
      <c r="P84" s="25" t="n">
        <v>54</v>
      </c>
      <c r="Q84" s="25" t="n">
        <v>28.3</v>
      </c>
      <c r="R84" s="25" t="n">
        <v>75.4</v>
      </c>
      <c r="S84" s="25" t="str">
        <f aca="false">IF(L84&gt;=90,"Top Performer",IF(L84&gt;=75,"High Performer",IF(L84&gt;=60,"Average","Needs Improvement")))</f>
        <v>Needs Improvement</v>
      </c>
      <c r="T84" s="25" t="str">
        <f aca="false">IF(J84&gt;=4,"Active","Low Usage")</f>
        <v>Active</v>
      </c>
    </row>
    <row r="85" customFormat="false" ht="15" hidden="false" customHeight="true" outlineLevel="0" collapsed="false">
      <c r="A85" s="56" t="n">
        <v>1084</v>
      </c>
      <c r="B85" s="56" t="s">
        <v>94</v>
      </c>
      <c r="C85" s="56" t="s">
        <v>303</v>
      </c>
      <c r="D85" s="56" t="s">
        <v>97</v>
      </c>
      <c r="E85" s="56" t="s">
        <v>230</v>
      </c>
      <c r="F85" s="56" t="s">
        <v>217</v>
      </c>
      <c r="G85" s="56" t="s">
        <v>241</v>
      </c>
      <c r="H85" s="56" t="s">
        <v>148</v>
      </c>
      <c r="I85" s="56" t="s">
        <v>82</v>
      </c>
      <c r="J85" s="56" t="n">
        <v>3.4</v>
      </c>
      <c r="K85" s="56" t="n">
        <v>17</v>
      </c>
      <c r="L85" s="56" t="n">
        <v>94</v>
      </c>
      <c r="M85" s="56" t="n">
        <v>1.8</v>
      </c>
      <c r="N85" s="56" t="n">
        <v>4.5</v>
      </c>
      <c r="O85" s="56" t="s">
        <v>228</v>
      </c>
      <c r="P85" s="56" t="n">
        <v>50</v>
      </c>
      <c r="Q85" s="56" t="n">
        <v>18.3</v>
      </c>
      <c r="R85" s="56" t="n">
        <v>65.7</v>
      </c>
      <c r="S85" s="56" t="str">
        <f aca="false">IF(L85&gt;=90,"Top Performer",IF(L85&gt;=75,"High Performer",IF(L85&gt;=60,"Average","Needs Improvement")))</f>
        <v>Top Performer</v>
      </c>
      <c r="T85" s="56" t="str">
        <f aca="false">IF(J85&gt;=4,"Active","Low Usage")</f>
        <v>Low Usage</v>
      </c>
    </row>
    <row r="86" customFormat="false" ht="15" hidden="false" customHeight="true" outlineLevel="0" collapsed="false">
      <c r="A86" s="25" t="n">
        <v>1085</v>
      </c>
      <c r="B86" s="25" t="s">
        <v>96</v>
      </c>
      <c r="C86" s="25" t="s">
        <v>283</v>
      </c>
      <c r="D86" s="25" t="s">
        <v>95</v>
      </c>
      <c r="E86" s="25" t="s">
        <v>233</v>
      </c>
      <c r="F86" s="25" t="s">
        <v>234</v>
      </c>
      <c r="G86" s="25" t="s">
        <v>248</v>
      </c>
      <c r="H86" s="25" t="s">
        <v>148</v>
      </c>
      <c r="I86" s="25" t="s">
        <v>81</v>
      </c>
      <c r="J86" s="25" t="n">
        <v>4.6</v>
      </c>
      <c r="K86" s="25" t="n">
        <v>33</v>
      </c>
      <c r="L86" s="55" t="n">
        <v>84.3</v>
      </c>
      <c r="M86" s="25" t="n">
        <v>3.5</v>
      </c>
      <c r="N86" s="55" t="n">
        <v>4.3</v>
      </c>
      <c r="O86" s="25" t="s">
        <v>228</v>
      </c>
      <c r="P86" s="25" t="n">
        <v>53</v>
      </c>
      <c r="Q86" s="25" t="n">
        <v>40.2</v>
      </c>
      <c r="R86" s="25" t="n">
        <v>84.5</v>
      </c>
      <c r="S86" s="25" t="str">
        <f aca="false">IF(L86&gt;=90,"Top Performer",IF(L86&gt;=75,"High Performer",IF(L86&gt;=60,"Average","Needs Improvement")))</f>
        <v>High Performer</v>
      </c>
      <c r="T86" s="25" t="str">
        <f aca="false">IF(J86&gt;=4,"Active","Low Usage")</f>
        <v>Active</v>
      </c>
    </row>
    <row r="87" customFormat="false" ht="15" hidden="false" customHeight="true" outlineLevel="0" collapsed="false">
      <c r="A87" s="56" t="n">
        <v>1086</v>
      </c>
      <c r="B87" s="56" t="s">
        <v>107</v>
      </c>
      <c r="C87" s="56" t="s">
        <v>304</v>
      </c>
      <c r="D87" s="56" t="s">
        <v>99</v>
      </c>
      <c r="E87" s="56" t="s">
        <v>249</v>
      </c>
      <c r="F87" s="56" t="s">
        <v>236</v>
      </c>
      <c r="G87" s="56" t="s">
        <v>239</v>
      </c>
      <c r="H87" s="56" t="s">
        <v>149</v>
      </c>
      <c r="I87" s="56" t="s">
        <v>81</v>
      </c>
      <c r="J87" s="56" t="n">
        <v>3.8</v>
      </c>
      <c r="K87" s="56" t="n">
        <v>27</v>
      </c>
      <c r="L87" s="56" t="n">
        <v>76.8</v>
      </c>
      <c r="M87" s="56" t="n">
        <v>2</v>
      </c>
      <c r="N87" s="56" t="n">
        <v>3.9</v>
      </c>
      <c r="O87" s="56" t="s">
        <v>219</v>
      </c>
      <c r="P87" s="56" t="n">
        <v>0</v>
      </c>
      <c r="Q87" s="56" t="n">
        <v>22.9</v>
      </c>
      <c r="R87" s="56" t="n">
        <v>71.2</v>
      </c>
      <c r="S87" s="56" t="str">
        <f aca="false">IF(L87&gt;=90,"Top Performer",IF(L87&gt;=75,"High Performer",IF(L87&gt;=60,"Average","Needs Improvement")))</f>
        <v>High Performer</v>
      </c>
      <c r="T87" s="56" t="str">
        <f aca="false">IF(J87&gt;=4,"Active","Low Usage")</f>
        <v>Low Usage</v>
      </c>
    </row>
    <row r="88" customFormat="false" ht="15" hidden="false" customHeight="true" outlineLevel="0" collapsed="false">
      <c r="A88" s="25" t="n">
        <v>1087</v>
      </c>
      <c r="B88" s="25" t="s">
        <v>104</v>
      </c>
      <c r="C88" s="25" t="s">
        <v>278</v>
      </c>
      <c r="D88" s="25" t="s">
        <v>101</v>
      </c>
      <c r="E88" s="25" t="s">
        <v>233</v>
      </c>
      <c r="F88" s="25" t="s">
        <v>221</v>
      </c>
      <c r="G88" s="25" t="s">
        <v>222</v>
      </c>
      <c r="H88" s="25" t="s">
        <v>148</v>
      </c>
      <c r="I88" s="25" t="s">
        <v>80</v>
      </c>
      <c r="J88" s="25" t="n">
        <v>3</v>
      </c>
      <c r="K88" s="25" t="n">
        <v>17</v>
      </c>
      <c r="L88" s="55" t="n">
        <v>68.8</v>
      </c>
      <c r="M88" s="25" t="n">
        <v>1.8</v>
      </c>
      <c r="N88" s="55" t="n">
        <v>3.3</v>
      </c>
      <c r="O88" s="25" t="s">
        <v>219</v>
      </c>
      <c r="P88" s="25" t="n">
        <v>0</v>
      </c>
      <c r="Q88" s="25" t="n">
        <v>25.8</v>
      </c>
      <c r="R88" s="25" t="n">
        <v>91.6</v>
      </c>
      <c r="S88" s="25" t="str">
        <f aca="false">IF(L88&gt;=90,"Top Performer",IF(L88&gt;=75,"High Performer",IF(L88&gt;=60,"Average","Needs Improvement")))</f>
        <v>Average</v>
      </c>
      <c r="T88" s="25" t="str">
        <f aca="false">IF(J88&gt;=4,"Active","Low Usage")</f>
        <v>Low Usage</v>
      </c>
    </row>
    <row r="89" customFormat="false" ht="15" hidden="false" customHeight="true" outlineLevel="0" collapsed="false">
      <c r="A89" s="56" t="n">
        <v>1088</v>
      </c>
      <c r="B89" s="56" t="s">
        <v>98</v>
      </c>
      <c r="C89" s="56" t="s">
        <v>305</v>
      </c>
      <c r="D89" s="56" t="s">
        <v>93</v>
      </c>
      <c r="E89" s="56" t="s">
        <v>233</v>
      </c>
      <c r="F89" s="56" t="s">
        <v>234</v>
      </c>
      <c r="G89" s="56" t="s">
        <v>231</v>
      </c>
      <c r="H89" s="56" t="s">
        <v>148</v>
      </c>
      <c r="I89" s="56" t="s">
        <v>82</v>
      </c>
      <c r="J89" s="56" t="n">
        <v>3.4</v>
      </c>
      <c r="K89" s="56" t="n">
        <v>15</v>
      </c>
      <c r="L89" s="56" t="n">
        <v>70.6</v>
      </c>
      <c r="M89" s="56" t="n">
        <v>2.6</v>
      </c>
      <c r="N89" s="56" t="n">
        <v>3.8</v>
      </c>
      <c r="O89" s="56" t="s">
        <v>223</v>
      </c>
      <c r="P89" s="56" t="n">
        <v>18</v>
      </c>
      <c r="Q89" s="56" t="n">
        <v>37.6</v>
      </c>
      <c r="R89" s="56" t="n">
        <v>85.2</v>
      </c>
      <c r="S89" s="56" t="str">
        <f aca="false">IF(L89&gt;=90,"Top Performer",IF(L89&gt;=75,"High Performer",IF(L89&gt;=60,"Average","Needs Improvement")))</f>
        <v>Average</v>
      </c>
      <c r="T89" s="56" t="str">
        <f aca="false">IF(J89&gt;=4,"Active","Low Usage")</f>
        <v>Low Usage</v>
      </c>
    </row>
    <row r="90" customFormat="false" ht="15" hidden="false" customHeight="true" outlineLevel="0" collapsed="false">
      <c r="A90" s="25" t="n">
        <v>1089</v>
      </c>
      <c r="B90" s="25" t="s">
        <v>100</v>
      </c>
      <c r="C90" s="25" t="s">
        <v>254</v>
      </c>
      <c r="D90" s="25" t="s">
        <v>97</v>
      </c>
      <c r="E90" s="25" t="s">
        <v>249</v>
      </c>
      <c r="F90" s="25" t="s">
        <v>221</v>
      </c>
      <c r="G90" s="25" t="s">
        <v>222</v>
      </c>
      <c r="H90" s="25" t="s">
        <v>148</v>
      </c>
      <c r="I90" s="25" t="s">
        <v>80</v>
      </c>
      <c r="J90" s="25" t="n">
        <v>2.3</v>
      </c>
      <c r="K90" s="25" t="n">
        <v>14</v>
      </c>
      <c r="L90" s="55" t="n">
        <v>94.4</v>
      </c>
      <c r="M90" s="25" t="n">
        <v>1.2</v>
      </c>
      <c r="N90" s="55" t="n">
        <v>4.3</v>
      </c>
      <c r="O90" s="25" t="s">
        <v>228</v>
      </c>
      <c r="P90" s="25" t="n">
        <v>54</v>
      </c>
      <c r="Q90" s="25" t="n">
        <v>14.5</v>
      </c>
      <c r="R90" s="25" t="n">
        <v>87.6</v>
      </c>
      <c r="S90" s="25" t="str">
        <f aca="false">IF(L90&gt;=90,"Top Performer",IF(L90&gt;=75,"High Performer",IF(L90&gt;=60,"Average","Needs Improvement")))</f>
        <v>Top Performer</v>
      </c>
      <c r="T90" s="25" t="str">
        <f aca="false">IF(J90&gt;=4,"Active","Low Usage")</f>
        <v>Low Usage</v>
      </c>
    </row>
    <row r="91" customFormat="false" ht="15" hidden="false" customHeight="true" outlineLevel="0" collapsed="false">
      <c r="A91" s="56" t="n">
        <v>1090</v>
      </c>
      <c r="B91" s="56" t="s">
        <v>110</v>
      </c>
      <c r="C91" s="56" t="s">
        <v>215</v>
      </c>
      <c r="D91" s="56" t="s">
        <v>97</v>
      </c>
      <c r="E91" s="56" t="s">
        <v>233</v>
      </c>
      <c r="F91" s="56" t="s">
        <v>236</v>
      </c>
      <c r="G91" s="56" t="s">
        <v>227</v>
      </c>
      <c r="H91" s="56" t="s">
        <v>148</v>
      </c>
      <c r="I91" s="56" t="s">
        <v>80</v>
      </c>
      <c r="J91" s="56" t="n">
        <v>4.1</v>
      </c>
      <c r="K91" s="56" t="n">
        <v>32</v>
      </c>
      <c r="L91" s="56" t="n">
        <v>76.9</v>
      </c>
      <c r="M91" s="56" t="n">
        <v>1.7</v>
      </c>
      <c r="N91" s="56" t="n">
        <v>3.6</v>
      </c>
      <c r="O91" s="56" t="s">
        <v>219</v>
      </c>
      <c r="P91" s="56" t="n">
        <v>0</v>
      </c>
      <c r="Q91" s="56" t="n">
        <v>22</v>
      </c>
      <c r="R91" s="56" t="n">
        <v>89.9</v>
      </c>
      <c r="S91" s="56" t="str">
        <f aca="false">IF(L91&gt;=90,"Top Performer",IF(L91&gt;=75,"High Performer",IF(L91&gt;=60,"Average","Needs Improvement")))</f>
        <v>High Performer</v>
      </c>
      <c r="T91" s="56" t="str">
        <f aca="false">IF(J91&gt;=4,"Active","Low Usage")</f>
        <v>Active</v>
      </c>
    </row>
    <row r="92" customFormat="false" ht="15" hidden="false" customHeight="true" outlineLevel="0" collapsed="false">
      <c r="A92" s="25" t="n">
        <v>1091</v>
      </c>
      <c r="B92" s="25" t="s">
        <v>100</v>
      </c>
      <c r="C92" s="25" t="s">
        <v>306</v>
      </c>
      <c r="D92" s="25" t="s">
        <v>95</v>
      </c>
      <c r="E92" s="25" t="s">
        <v>230</v>
      </c>
      <c r="F92" s="25" t="s">
        <v>234</v>
      </c>
      <c r="G92" s="25" t="s">
        <v>248</v>
      </c>
      <c r="H92" s="25" t="s">
        <v>148</v>
      </c>
      <c r="I92" s="25" t="s">
        <v>81</v>
      </c>
      <c r="J92" s="25" t="n">
        <v>4.1</v>
      </c>
      <c r="K92" s="25" t="n">
        <v>13</v>
      </c>
      <c r="L92" s="55" t="n">
        <v>80.7</v>
      </c>
      <c r="M92" s="25" t="n">
        <v>1.9</v>
      </c>
      <c r="N92" s="55" t="n">
        <v>3.4</v>
      </c>
      <c r="O92" s="25" t="s">
        <v>228</v>
      </c>
      <c r="P92" s="25" t="n">
        <v>50</v>
      </c>
      <c r="Q92" s="25" t="n">
        <v>35.2</v>
      </c>
      <c r="R92" s="25" t="n">
        <v>61.7</v>
      </c>
      <c r="S92" s="25" t="str">
        <f aca="false">IF(L92&gt;=90,"Top Performer",IF(L92&gt;=75,"High Performer",IF(L92&gt;=60,"Average","Needs Improvement")))</f>
        <v>High Performer</v>
      </c>
      <c r="T92" s="25" t="str">
        <f aca="false">IF(J92&gt;=4,"Active","Low Usage")</f>
        <v>Active</v>
      </c>
    </row>
    <row r="93" customFormat="false" ht="15" hidden="false" customHeight="true" outlineLevel="0" collapsed="false">
      <c r="A93" s="56" t="n">
        <v>1092</v>
      </c>
      <c r="B93" s="56" t="s">
        <v>109</v>
      </c>
      <c r="C93" s="56" t="s">
        <v>294</v>
      </c>
      <c r="D93" s="56" t="s">
        <v>95</v>
      </c>
      <c r="E93" s="56" t="s">
        <v>225</v>
      </c>
      <c r="F93" s="56" t="s">
        <v>221</v>
      </c>
      <c r="G93" s="56" t="s">
        <v>253</v>
      </c>
      <c r="H93" s="56" t="s">
        <v>148</v>
      </c>
      <c r="I93" s="56" t="s">
        <v>82</v>
      </c>
      <c r="J93" s="56" t="n">
        <v>3.4</v>
      </c>
      <c r="K93" s="56" t="n">
        <v>24</v>
      </c>
      <c r="L93" s="56" t="n">
        <v>96.5</v>
      </c>
      <c r="M93" s="56" t="n">
        <v>2.4</v>
      </c>
      <c r="N93" s="56" t="n">
        <v>4.8</v>
      </c>
      <c r="O93" s="56" t="s">
        <v>219</v>
      </c>
      <c r="P93" s="56" t="n">
        <v>0</v>
      </c>
      <c r="Q93" s="56" t="n">
        <v>22.9</v>
      </c>
      <c r="R93" s="56" t="n">
        <v>96.9</v>
      </c>
      <c r="S93" s="56" t="str">
        <f aca="false">IF(L93&gt;=90,"Top Performer",IF(L93&gt;=75,"High Performer",IF(L93&gt;=60,"Average","Needs Improvement")))</f>
        <v>Top Performer</v>
      </c>
      <c r="T93" s="56" t="str">
        <f aca="false">IF(J93&gt;=4,"Active","Low Usage")</f>
        <v>Low Usage</v>
      </c>
    </row>
    <row r="94" customFormat="false" ht="15" hidden="false" customHeight="true" outlineLevel="0" collapsed="false">
      <c r="A94" s="25" t="n">
        <v>1093</v>
      </c>
      <c r="B94" s="25" t="s">
        <v>105</v>
      </c>
      <c r="C94" s="25" t="s">
        <v>260</v>
      </c>
      <c r="D94" s="25" t="s">
        <v>99</v>
      </c>
      <c r="E94" s="25" t="s">
        <v>243</v>
      </c>
      <c r="F94" s="25" t="s">
        <v>217</v>
      </c>
      <c r="G94" s="25" t="s">
        <v>222</v>
      </c>
      <c r="H94" s="25" t="s">
        <v>148</v>
      </c>
      <c r="I94" s="25" t="s">
        <v>83</v>
      </c>
      <c r="J94" s="25" t="n">
        <v>5.8</v>
      </c>
      <c r="K94" s="25" t="n">
        <v>17</v>
      </c>
      <c r="L94" s="55" t="n">
        <v>89.5</v>
      </c>
      <c r="M94" s="25" t="n">
        <v>2.6</v>
      </c>
      <c r="N94" s="55" t="n">
        <v>3.5</v>
      </c>
      <c r="O94" s="25" t="s">
        <v>228</v>
      </c>
      <c r="P94" s="25" t="n">
        <v>55</v>
      </c>
      <c r="Q94" s="25" t="n">
        <v>40.6</v>
      </c>
      <c r="R94" s="25" t="n">
        <v>81.6</v>
      </c>
      <c r="S94" s="25" t="str">
        <f aca="false">IF(L94&gt;=90,"Top Performer",IF(L94&gt;=75,"High Performer",IF(L94&gt;=60,"Average","Needs Improvement")))</f>
        <v>High Performer</v>
      </c>
      <c r="T94" s="25" t="str">
        <f aca="false">IF(J94&gt;=4,"Active","Low Usage")</f>
        <v>Active</v>
      </c>
    </row>
    <row r="95" customFormat="false" ht="15" hidden="false" customHeight="true" outlineLevel="0" collapsed="false">
      <c r="A95" s="56" t="n">
        <v>1094</v>
      </c>
      <c r="B95" s="56" t="s">
        <v>94</v>
      </c>
      <c r="C95" s="56" t="s">
        <v>291</v>
      </c>
      <c r="D95" s="56" t="s">
        <v>101</v>
      </c>
      <c r="E95" s="56" t="s">
        <v>243</v>
      </c>
      <c r="F95" s="56" t="s">
        <v>226</v>
      </c>
      <c r="G95" s="56" t="s">
        <v>253</v>
      </c>
      <c r="H95" s="56" t="s">
        <v>148</v>
      </c>
      <c r="I95" s="56" t="s">
        <v>80</v>
      </c>
      <c r="J95" s="56" t="n">
        <v>3</v>
      </c>
      <c r="K95" s="56" t="n">
        <v>37</v>
      </c>
      <c r="L95" s="56" t="n">
        <v>61.3</v>
      </c>
      <c r="M95" s="56" t="n">
        <v>1.7</v>
      </c>
      <c r="N95" s="56" t="n">
        <v>4.9</v>
      </c>
      <c r="O95" s="56" t="s">
        <v>219</v>
      </c>
      <c r="P95" s="56" t="n">
        <v>0</v>
      </c>
      <c r="Q95" s="56" t="n">
        <v>38.6</v>
      </c>
      <c r="R95" s="56" t="n">
        <v>94.5</v>
      </c>
      <c r="S95" s="56" t="str">
        <f aca="false">IF(L95&gt;=90,"Top Performer",IF(L95&gt;=75,"High Performer",IF(L95&gt;=60,"Average","Needs Improvement")))</f>
        <v>Average</v>
      </c>
      <c r="T95" s="56" t="str">
        <f aca="false">IF(J95&gt;=4,"Active","Low Usage")</f>
        <v>Low Usage</v>
      </c>
    </row>
    <row r="96" customFormat="false" ht="15" hidden="false" customHeight="true" outlineLevel="0" collapsed="false">
      <c r="A96" s="25" t="n">
        <v>1095</v>
      </c>
      <c r="B96" s="25" t="s">
        <v>98</v>
      </c>
      <c r="C96" s="25" t="s">
        <v>307</v>
      </c>
      <c r="D96" s="25" t="s">
        <v>99</v>
      </c>
      <c r="E96" s="25" t="s">
        <v>249</v>
      </c>
      <c r="F96" s="25" t="s">
        <v>236</v>
      </c>
      <c r="G96" s="25" t="s">
        <v>227</v>
      </c>
      <c r="H96" s="25" t="s">
        <v>148</v>
      </c>
      <c r="I96" s="25" t="s">
        <v>80</v>
      </c>
      <c r="J96" s="25" t="n">
        <v>2.6</v>
      </c>
      <c r="K96" s="25" t="n">
        <v>6</v>
      </c>
      <c r="L96" s="55" t="n">
        <v>68.7</v>
      </c>
      <c r="M96" s="25" t="n">
        <v>1.1</v>
      </c>
      <c r="N96" s="55" t="n">
        <v>4.4</v>
      </c>
      <c r="O96" s="25" t="s">
        <v>223</v>
      </c>
      <c r="P96" s="25" t="n">
        <v>20</v>
      </c>
      <c r="Q96" s="25" t="n">
        <v>14.8</v>
      </c>
      <c r="R96" s="25" t="n">
        <v>71.2</v>
      </c>
      <c r="S96" s="25" t="str">
        <f aca="false">IF(L96&gt;=90,"Top Performer",IF(L96&gt;=75,"High Performer",IF(L96&gt;=60,"Average","Needs Improvement")))</f>
        <v>Average</v>
      </c>
      <c r="T96" s="25" t="str">
        <f aca="false">IF(J96&gt;=4,"Active","Low Usage")</f>
        <v>Low Usage</v>
      </c>
    </row>
    <row r="97" customFormat="false" ht="15" hidden="false" customHeight="true" outlineLevel="0" collapsed="false">
      <c r="A97" s="56" t="n">
        <v>1096</v>
      </c>
      <c r="B97" s="56" t="s">
        <v>106</v>
      </c>
      <c r="C97" s="56" t="s">
        <v>308</v>
      </c>
      <c r="D97" s="56" t="s">
        <v>95</v>
      </c>
      <c r="E97" s="56" t="s">
        <v>243</v>
      </c>
      <c r="F97" s="56" t="s">
        <v>236</v>
      </c>
      <c r="G97" s="56" t="s">
        <v>239</v>
      </c>
      <c r="H97" s="56" t="s">
        <v>149</v>
      </c>
      <c r="I97" s="56" t="s">
        <v>83</v>
      </c>
      <c r="J97" s="56" t="n">
        <v>0.6</v>
      </c>
      <c r="K97" s="56" t="n">
        <v>18</v>
      </c>
      <c r="L97" s="56" t="n">
        <v>90.9</v>
      </c>
      <c r="M97" s="56" t="n">
        <v>0.4</v>
      </c>
      <c r="N97" s="56" t="n">
        <v>4.5</v>
      </c>
      <c r="O97" s="56" t="s">
        <v>228</v>
      </c>
      <c r="P97" s="56" t="n">
        <v>54</v>
      </c>
      <c r="Q97" s="56" t="n">
        <v>13.9</v>
      </c>
      <c r="R97" s="56" t="n">
        <v>71.2</v>
      </c>
      <c r="S97" s="56" t="str">
        <f aca="false">IF(L97&gt;=90,"Top Performer",IF(L97&gt;=75,"High Performer",IF(L97&gt;=60,"Average","Needs Improvement")))</f>
        <v>Top Performer</v>
      </c>
      <c r="T97" s="56" t="str">
        <f aca="false">IF(J97&gt;=4,"Active","Low Usage")</f>
        <v>Low Usage</v>
      </c>
    </row>
    <row r="98" customFormat="false" ht="15" hidden="false" customHeight="true" outlineLevel="0" collapsed="false">
      <c r="A98" s="25" t="n">
        <v>1097</v>
      </c>
      <c r="B98" s="25" t="s">
        <v>107</v>
      </c>
      <c r="C98" s="25" t="s">
        <v>279</v>
      </c>
      <c r="D98" s="25" t="s">
        <v>93</v>
      </c>
      <c r="E98" s="25" t="s">
        <v>249</v>
      </c>
      <c r="F98" s="25" t="s">
        <v>234</v>
      </c>
      <c r="G98" s="25" t="s">
        <v>222</v>
      </c>
      <c r="H98" s="25" t="s">
        <v>148</v>
      </c>
      <c r="I98" s="25" t="s">
        <v>82</v>
      </c>
      <c r="J98" s="25" t="n">
        <v>0.8</v>
      </c>
      <c r="K98" s="25" t="n">
        <v>36</v>
      </c>
      <c r="L98" s="55" t="n">
        <v>80.7</v>
      </c>
      <c r="M98" s="25" t="n">
        <v>0.3</v>
      </c>
      <c r="N98" s="55" t="n">
        <v>4</v>
      </c>
      <c r="O98" s="25" t="s">
        <v>219</v>
      </c>
      <c r="P98" s="25" t="n">
        <v>0</v>
      </c>
      <c r="Q98" s="25" t="n">
        <v>35.1</v>
      </c>
      <c r="R98" s="25" t="n">
        <v>71.4</v>
      </c>
      <c r="S98" s="25" t="str">
        <f aca="false">IF(L98&gt;=90,"Top Performer",IF(L98&gt;=75,"High Performer",IF(L98&gt;=60,"Average","Needs Improvement")))</f>
        <v>High Performer</v>
      </c>
      <c r="T98" s="25" t="str">
        <f aca="false">IF(J98&gt;=4,"Active","Low Usage")</f>
        <v>Low Usage</v>
      </c>
    </row>
    <row r="99" customFormat="false" ht="15" hidden="false" customHeight="true" outlineLevel="0" collapsed="false">
      <c r="A99" s="56" t="n">
        <v>1098</v>
      </c>
      <c r="B99" s="56" t="s">
        <v>96</v>
      </c>
      <c r="C99" s="56" t="s">
        <v>309</v>
      </c>
      <c r="D99" s="56" t="s">
        <v>101</v>
      </c>
      <c r="E99" s="56" t="s">
        <v>236</v>
      </c>
      <c r="F99" s="56" t="s">
        <v>234</v>
      </c>
      <c r="G99" s="56" t="s">
        <v>222</v>
      </c>
      <c r="H99" s="56" t="s">
        <v>148</v>
      </c>
      <c r="I99" s="56" t="s">
        <v>80</v>
      </c>
      <c r="J99" s="56" t="n">
        <v>0.9</v>
      </c>
      <c r="K99" s="56" t="n">
        <v>38</v>
      </c>
      <c r="L99" s="56" t="n">
        <v>78.4</v>
      </c>
      <c r="M99" s="56" t="n">
        <v>0.6</v>
      </c>
      <c r="N99" s="56" t="n">
        <v>4</v>
      </c>
      <c r="O99" s="56" t="s">
        <v>219</v>
      </c>
      <c r="P99" s="56" t="n">
        <v>0</v>
      </c>
      <c r="Q99" s="56" t="n">
        <v>23.7</v>
      </c>
      <c r="R99" s="56" t="n">
        <v>78.3</v>
      </c>
      <c r="S99" s="56" t="str">
        <f aca="false">IF(L99&gt;=90,"Top Performer",IF(L99&gt;=75,"High Performer",IF(L99&gt;=60,"Average","Needs Improvement")))</f>
        <v>High Performer</v>
      </c>
      <c r="T99" s="56" t="str">
        <f aca="false">IF(J99&gt;=4,"Active","Low Usage")</f>
        <v>Low Usage</v>
      </c>
    </row>
    <row r="100" customFormat="false" ht="15" hidden="false" customHeight="true" outlineLevel="0" collapsed="false">
      <c r="A100" s="25" t="n">
        <v>1099</v>
      </c>
      <c r="B100" s="25" t="s">
        <v>109</v>
      </c>
      <c r="C100" s="25" t="s">
        <v>309</v>
      </c>
      <c r="D100" s="25" t="s">
        <v>97</v>
      </c>
      <c r="E100" s="25" t="s">
        <v>236</v>
      </c>
      <c r="F100" s="25" t="s">
        <v>226</v>
      </c>
      <c r="G100" s="25" t="s">
        <v>227</v>
      </c>
      <c r="H100" s="25" t="s">
        <v>148</v>
      </c>
      <c r="I100" s="25" t="s">
        <v>83</v>
      </c>
      <c r="J100" s="25" t="n">
        <v>1.8</v>
      </c>
      <c r="K100" s="25" t="n">
        <v>11</v>
      </c>
      <c r="L100" s="55" t="n">
        <v>88.2</v>
      </c>
      <c r="M100" s="25" t="n">
        <v>1.2</v>
      </c>
      <c r="N100" s="55" t="n">
        <v>3.7</v>
      </c>
      <c r="O100" s="25" t="s">
        <v>219</v>
      </c>
      <c r="P100" s="25" t="n">
        <v>0</v>
      </c>
      <c r="Q100" s="25" t="n">
        <v>22.3</v>
      </c>
      <c r="R100" s="25" t="n">
        <v>73.2</v>
      </c>
      <c r="S100" s="25" t="str">
        <f aca="false">IF(L100&gt;=90,"Top Performer",IF(L100&gt;=75,"High Performer",IF(L100&gt;=60,"Average","Needs Improvement")))</f>
        <v>High Performer</v>
      </c>
      <c r="T100" s="25" t="str">
        <f aca="false">IF(J100&gt;=4,"Active","Low Usage")</f>
        <v>Low Usage</v>
      </c>
    </row>
    <row r="101" customFormat="false" ht="15" hidden="false" customHeight="true" outlineLevel="0" collapsed="false">
      <c r="A101" s="56" t="n">
        <v>1100</v>
      </c>
      <c r="B101" s="56" t="s">
        <v>109</v>
      </c>
      <c r="C101" s="56" t="s">
        <v>215</v>
      </c>
      <c r="D101" s="56" t="s">
        <v>99</v>
      </c>
      <c r="E101" s="56" t="s">
        <v>216</v>
      </c>
      <c r="F101" s="56" t="s">
        <v>236</v>
      </c>
      <c r="G101" s="56" t="s">
        <v>241</v>
      </c>
      <c r="H101" s="56" t="s">
        <v>148</v>
      </c>
      <c r="I101" s="56" t="s">
        <v>81</v>
      </c>
      <c r="J101" s="56" t="n">
        <v>4.4</v>
      </c>
      <c r="K101" s="56" t="n">
        <v>34</v>
      </c>
      <c r="L101" s="56" t="n">
        <v>56.6</v>
      </c>
      <c r="M101" s="56" t="n">
        <v>2.1</v>
      </c>
      <c r="N101" s="56" t="n">
        <v>4.6</v>
      </c>
      <c r="O101" s="56" t="s">
        <v>219</v>
      </c>
      <c r="P101" s="56" t="n">
        <v>0</v>
      </c>
      <c r="Q101" s="56" t="n">
        <v>21</v>
      </c>
      <c r="R101" s="56" t="n">
        <v>72.1</v>
      </c>
      <c r="S101" s="56" t="str">
        <f aca="false">IF(L101&gt;=90,"Top Performer",IF(L101&gt;=75,"High Performer",IF(L101&gt;=60,"Average","Needs Improvement")))</f>
        <v>Needs Improvement</v>
      </c>
      <c r="T101" s="56" t="str">
        <f aca="false">IF(J101&gt;=4,"Active","Low Usage")</f>
        <v>Active</v>
      </c>
    </row>
    <row r="102" customFormat="false" ht="15" hidden="false" customHeight="true" outlineLevel="0" collapsed="false">
      <c r="A102" s="25" t="n">
        <v>1101</v>
      </c>
      <c r="B102" s="25" t="s">
        <v>109</v>
      </c>
      <c r="C102" s="25" t="s">
        <v>250</v>
      </c>
      <c r="D102" s="25" t="s">
        <v>101</v>
      </c>
      <c r="E102" s="25" t="s">
        <v>225</v>
      </c>
      <c r="F102" s="25" t="s">
        <v>217</v>
      </c>
      <c r="G102" s="25" t="s">
        <v>231</v>
      </c>
      <c r="H102" s="25" t="s">
        <v>148</v>
      </c>
      <c r="I102" s="25" t="s">
        <v>83</v>
      </c>
      <c r="J102" s="25" t="n">
        <v>2.5</v>
      </c>
      <c r="K102" s="25" t="n">
        <v>8</v>
      </c>
      <c r="L102" s="55" t="n">
        <v>92.2</v>
      </c>
      <c r="M102" s="25" t="n">
        <v>1.3</v>
      </c>
      <c r="N102" s="55" t="n">
        <v>3.2</v>
      </c>
      <c r="O102" s="25" t="s">
        <v>223</v>
      </c>
      <c r="P102" s="25" t="n">
        <v>24</v>
      </c>
      <c r="Q102" s="25" t="n">
        <v>41.1</v>
      </c>
      <c r="R102" s="25" t="n">
        <v>89</v>
      </c>
      <c r="S102" s="25" t="str">
        <f aca="false">IF(L102&gt;=90,"Top Performer",IF(L102&gt;=75,"High Performer",IF(L102&gt;=60,"Average","Needs Improvement")))</f>
        <v>Top Performer</v>
      </c>
      <c r="T102" s="25" t="str">
        <f aca="false">IF(J102&gt;=4,"Active","Low Usage")</f>
        <v>Low Usage</v>
      </c>
    </row>
    <row r="103" customFormat="false" ht="15" hidden="false" customHeight="true" outlineLevel="0" collapsed="false">
      <c r="A103" s="56" t="n">
        <v>1102</v>
      </c>
      <c r="B103" s="56" t="s">
        <v>102</v>
      </c>
      <c r="C103" s="56" t="s">
        <v>297</v>
      </c>
      <c r="D103" s="56" t="s">
        <v>97</v>
      </c>
      <c r="E103" s="56" t="s">
        <v>230</v>
      </c>
      <c r="F103" s="56" t="s">
        <v>236</v>
      </c>
      <c r="G103" s="56" t="s">
        <v>239</v>
      </c>
      <c r="H103" s="56" t="s">
        <v>149</v>
      </c>
      <c r="I103" s="56" t="s">
        <v>83</v>
      </c>
      <c r="J103" s="56" t="n">
        <v>4.9</v>
      </c>
      <c r="K103" s="56" t="n">
        <v>32</v>
      </c>
      <c r="L103" s="56" t="n">
        <v>58.4</v>
      </c>
      <c r="M103" s="56" t="n">
        <v>3.1</v>
      </c>
      <c r="N103" s="56" t="n">
        <v>4.6</v>
      </c>
      <c r="O103" s="56" t="s">
        <v>228</v>
      </c>
      <c r="P103" s="56" t="n">
        <v>52</v>
      </c>
      <c r="Q103" s="56" t="n">
        <v>21.2</v>
      </c>
      <c r="R103" s="56" t="n">
        <v>63.1</v>
      </c>
      <c r="S103" s="56" t="str">
        <f aca="false">IF(L103&gt;=90,"Top Performer",IF(L103&gt;=75,"High Performer",IF(L103&gt;=60,"Average","Needs Improvement")))</f>
        <v>Needs Improvement</v>
      </c>
      <c r="T103" s="56" t="str">
        <f aca="false">IF(J103&gt;=4,"Active","Low Usage")</f>
        <v>Active</v>
      </c>
    </row>
    <row r="104" customFormat="false" ht="15" hidden="false" customHeight="true" outlineLevel="0" collapsed="false">
      <c r="A104" s="25" t="n">
        <v>1103</v>
      </c>
      <c r="B104" s="25" t="s">
        <v>96</v>
      </c>
      <c r="C104" s="25" t="s">
        <v>293</v>
      </c>
      <c r="D104" s="25" t="s">
        <v>97</v>
      </c>
      <c r="E104" s="25" t="s">
        <v>225</v>
      </c>
      <c r="F104" s="25" t="s">
        <v>221</v>
      </c>
      <c r="G104" s="25" t="s">
        <v>222</v>
      </c>
      <c r="H104" s="25" t="s">
        <v>148</v>
      </c>
      <c r="I104" s="25" t="s">
        <v>82</v>
      </c>
      <c r="J104" s="25" t="n">
        <v>3</v>
      </c>
      <c r="K104" s="25" t="n">
        <v>27</v>
      </c>
      <c r="L104" s="55" t="n">
        <v>81.4</v>
      </c>
      <c r="M104" s="25" t="n">
        <v>1.7</v>
      </c>
      <c r="N104" s="55" t="n">
        <v>4.3</v>
      </c>
      <c r="O104" s="25" t="s">
        <v>219</v>
      </c>
      <c r="P104" s="25" t="n">
        <v>0</v>
      </c>
      <c r="Q104" s="25" t="n">
        <v>12.6</v>
      </c>
      <c r="R104" s="25" t="n">
        <v>84.9</v>
      </c>
      <c r="S104" s="25" t="str">
        <f aca="false">IF(L104&gt;=90,"Top Performer",IF(L104&gt;=75,"High Performer",IF(L104&gt;=60,"Average","Needs Improvement")))</f>
        <v>High Performer</v>
      </c>
      <c r="T104" s="25" t="str">
        <f aca="false">IF(J104&gt;=4,"Active","Low Usage")</f>
        <v>Low Usage</v>
      </c>
    </row>
    <row r="105" customFormat="false" ht="15" hidden="false" customHeight="true" outlineLevel="0" collapsed="false">
      <c r="A105" s="56" t="n">
        <v>1104</v>
      </c>
      <c r="B105" s="56" t="s">
        <v>96</v>
      </c>
      <c r="C105" s="56" t="s">
        <v>279</v>
      </c>
      <c r="D105" s="56" t="s">
        <v>101</v>
      </c>
      <c r="E105" s="56" t="s">
        <v>243</v>
      </c>
      <c r="F105" s="56" t="s">
        <v>234</v>
      </c>
      <c r="G105" s="56" t="s">
        <v>231</v>
      </c>
      <c r="H105" s="56" t="s">
        <v>148</v>
      </c>
      <c r="I105" s="56" t="s">
        <v>82</v>
      </c>
      <c r="J105" s="56" t="n">
        <v>0.7</v>
      </c>
      <c r="K105" s="56" t="n">
        <v>9</v>
      </c>
      <c r="L105" s="56" t="n">
        <v>65.1</v>
      </c>
      <c r="M105" s="56" t="n">
        <v>0.5</v>
      </c>
      <c r="N105" s="56" t="n">
        <v>3.7</v>
      </c>
      <c r="O105" s="56" t="s">
        <v>228</v>
      </c>
      <c r="P105" s="56" t="n">
        <v>48</v>
      </c>
      <c r="Q105" s="56" t="n">
        <v>31.2</v>
      </c>
      <c r="R105" s="56" t="n">
        <v>86.5</v>
      </c>
      <c r="S105" s="56" t="str">
        <f aca="false">IF(L105&gt;=90,"Top Performer",IF(L105&gt;=75,"High Performer",IF(L105&gt;=60,"Average","Needs Improvement")))</f>
        <v>Average</v>
      </c>
      <c r="T105" s="56" t="str">
        <f aca="false">IF(J105&gt;=4,"Active","Low Usage")</f>
        <v>Low Usage</v>
      </c>
    </row>
    <row r="106" customFormat="false" ht="15" hidden="false" customHeight="true" outlineLevel="0" collapsed="false">
      <c r="A106" s="25" t="n">
        <v>1105</v>
      </c>
      <c r="B106" s="25" t="s">
        <v>105</v>
      </c>
      <c r="C106" s="25" t="s">
        <v>310</v>
      </c>
      <c r="D106" s="25" t="s">
        <v>97</v>
      </c>
      <c r="E106" s="25" t="s">
        <v>225</v>
      </c>
      <c r="F106" s="25" t="s">
        <v>226</v>
      </c>
      <c r="G106" s="25" t="s">
        <v>241</v>
      </c>
      <c r="H106" s="25" t="s">
        <v>148</v>
      </c>
      <c r="I106" s="25" t="s">
        <v>82</v>
      </c>
      <c r="J106" s="25" t="n">
        <v>2.2</v>
      </c>
      <c r="K106" s="25" t="n">
        <v>22</v>
      </c>
      <c r="L106" s="55" t="n">
        <v>65.7</v>
      </c>
      <c r="M106" s="25" t="n">
        <v>1</v>
      </c>
      <c r="N106" s="55" t="n">
        <v>4.5</v>
      </c>
      <c r="O106" s="25" t="s">
        <v>223</v>
      </c>
      <c r="P106" s="25" t="n">
        <v>24</v>
      </c>
      <c r="Q106" s="25" t="n">
        <v>42</v>
      </c>
      <c r="R106" s="25" t="n">
        <v>64.6</v>
      </c>
      <c r="S106" s="25" t="str">
        <f aca="false">IF(L106&gt;=90,"Top Performer",IF(L106&gt;=75,"High Performer",IF(L106&gt;=60,"Average","Needs Improvement")))</f>
        <v>Average</v>
      </c>
      <c r="T106" s="25" t="str">
        <f aca="false">IF(J106&gt;=4,"Active","Low Usage")</f>
        <v>Low Usage</v>
      </c>
    </row>
    <row r="107" customFormat="false" ht="15" hidden="false" customHeight="true" outlineLevel="0" collapsed="false">
      <c r="A107" s="56" t="n">
        <v>1106</v>
      </c>
      <c r="B107" s="56" t="s">
        <v>108</v>
      </c>
      <c r="C107" s="56" t="s">
        <v>300</v>
      </c>
      <c r="D107" s="56" t="s">
        <v>99</v>
      </c>
      <c r="E107" s="56" t="s">
        <v>230</v>
      </c>
      <c r="F107" s="56" t="s">
        <v>221</v>
      </c>
      <c r="G107" s="56" t="s">
        <v>253</v>
      </c>
      <c r="H107" s="56" t="s">
        <v>148</v>
      </c>
      <c r="I107" s="56" t="s">
        <v>82</v>
      </c>
      <c r="J107" s="56" t="n">
        <v>1.2</v>
      </c>
      <c r="K107" s="56" t="n">
        <v>9</v>
      </c>
      <c r="L107" s="56" t="n">
        <v>74.4</v>
      </c>
      <c r="M107" s="56" t="n">
        <v>0.9</v>
      </c>
      <c r="N107" s="56" t="n">
        <v>3.9</v>
      </c>
      <c r="O107" s="56" t="s">
        <v>219</v>
      </c>
      <c r="P107" s="56" t="n">
        <v>0</v>
      </c>
      <c r="Q107" s="56" t="n">
        <v>38.4</v>
      </c>
      <c r="R107" s="56" t="n">
        <v>97.7</v>
      </c>
      <c r="S107" s="56" t="str">
        <f aca="false">IF(L107&gt;=90,"Top Performer",IF(L107&gt;=75,"High Performer",IF(L107&gt;=60,"Average","Needs Improvement")))</f>
        <v>Average</v>
      </c>
      <c r="T107" s="56" t="str">
        <f aca="false">IF(J107&gt;=4,"Active","Low Usage")</f>
        <v>Low Usage</v>
      </c>
    </row>
    <row r="108" customFormat="false" ht="15" hidden="false" customHeight="true" outlineLevel="0" collapsed="false">
      <c r="A108" s="25" t="n">
        <v>1107</v>
      </c>
      <c r="B108" s="25" t="s">
        <v>111</v>
      </c>
      <c r="C108" s="25" t="s">
        <v>311</v>
      </c>
      <c r="D108" s="25" t="s">
        <v>97</v>
      </c>
      <c r="E108" s="25" t="s">
        <v>216</v>
      </c>
      <c r="F108" s="25" t="s">
        <v>226</v>
      </c>
      <c r="G108" s="25" t="s">
        <v>253</v>
      </c>
      <c r="H108" s="25" t="s">
        <v>148</v>
      </c>
      <c r="I108" s="25" t="s">
        <v>82</v>
      </c>
      <c r="J108" s="25" t="n">
        <v>4.4</v>
      </c>
      <c r="K108" s="25" t="n">
        <v>16</v>
      </c>
      <c r="L108" s="55" t="n">
        <v>89.1</v>
      </c>
      <c r="M108" s="25" t="n">
        <v>2.7</v>
      </c>
      <c r="N108" s="55" t="n">
        <v>3.2</v>
      </c>
      <c r="O108" s="25" t="s">
        <v>219</v>
      </c>
      <c r="P108" s="25" t="n">
        <v>0</v>
      </c>
      <c r="Q108" s="25" t="n">
        <v>37.7</v>
      </c>
      <c r="R108" s="25" t="n">
        <v>69.2</v>
      </c>
      <c r="S108" s="25" t="str">
        <f aca="false">IF(L108&gt;=90,"Top Performer",IF(L108&gt;=75,"High Performer",IF(L108&gt;=60,"Average","Needs Improvement")))</f>
        <v>High Performer</v>
      </c>
      <c r="T108" s="25" t="str">
        <f aca="false">IF(J108&gt;=4,"Active","Low Usage")</f>
        <v>Active</v>
      </c>
    </row>
    <row r="109" customFormat="false" ht="15" hidden="false" customHeight="true" outlineLevel="0" collapsed="false">
      <c r="A109" s="56" t="n">
        <v>1108</v>
      </c>
      <c r="B109" s="56" t="s">
        <v>104</v>
      </c>
      <c r="C109" s="56" t="s">
        <v>312</v>
      </c>
      <c r="D109" s="56" t="s">
        <v>93</v>
      </c>
      <c r="E109" s="56" t="s">
        <v>236</v>
      </c>
      <c r="F109" s="56" t="s">
        <v>221</v>
      </c>
      <c r="G109" s="56" t="s">
        <v>227</v>
      </c>
      <c r="H109" s="56" t="s">
        <v>148</v>
      </c>
      <c r="I109" s="56" t="s">
        <v>83</v>
      </c>
      <c r="J109" s="56" t="n">
        <v>3.9</v>
      </c>
      <c r="K109" s="56" t="n">
        <v>10</v>
      </c>
      <c r="L109" s="56" t="n">
        <v>57.8</v>
      </c>
      <c r="M109" s="56" t="n">
        <v>2.2</v>
      </c>
      <c r="N109" s="56" t="n">
        <v>4.4</v>
      </c>
      <c r="O109" s="56" t="s">
        <v>223</v>
      </c>
      <c r="P109" s="56" t="n">
        <v>24</v>
      </c>
      <c r="Q109" s="56" t="n">
        <v>36.9</v>
      </c>
      <c r="R109" s="56" t="n">
        <v>92.1</v>
      </c>
      <c r="S109" s="56" t="str">
        <f aca="false">IF(L109&gt;=90,"Top Performer",IF(L109&gt;=75,"High Performer",IF(L109&gt;=60,"Average","Needs Improvement")))</f>
        <v>Needs Improvement</v>
      </c>
      <c r="T109" s="56" t="str">
        <f aca="false">IF(J109&gt;=4,"Active","Low Usage")</f>
        <v>Low Usage</v>
      </c>
    </row>
    <row r="110" customFormat="false" ht="15" hidden="false" customHeight="true" outlineLevel="0" collapsed="false">
      <c r="A110" s="25" t="n">
        <v>1109</v>
      </c>
      <c r="B110" s="25" t="s">
        <v>104</v>
      </c>
      <c r="C110" s="25" t="s">
        <v>264</v>
      </c>
      <c r="D110" s="25" t="s">
        <v>95</v>
      </c>
      <c r="E110" s="25" t="s">
        <v>236</v>
      </c>
      <c r="F110" s="25" t="s">
        <v>226</v>
      </c>
      <c r="G110" s="25" t="s">
        <v>239</v>
      </c>
      <c r="H110" s="25" t="s">
        <v>149</v>
      </c>
      <c r="I110" s="25" t="s">
        <v>80</v>
      </c>
      <c r="J110" s="25" t="n">
        <v>1.2</v>
      </c>
      <c r="K110" s="25" t="n">
        <v>40</v>
      </c>
      <c r="L110" s="55" t="n">
        <v>82.5</v>
      </c>
      <c r="M110" s="25" t="n">
        <v>0.6</v>
      </c>
      <c r="N110" s="55" t="n">
        <v>4.9</v>
      </c>
      <c r="O110" s="25" t="s">
        <v>223</v>
      </c>
      <c r="P110" s="25" t="n">
        <v>18</v>
      </c>
      <c r="Q110" s="25" t="n">
        <v>39.1</v>
      </c>
      <c r="R110" s="25" t="n">
        <v>80.2</v>
      </c>
      <c r="S110" s="25" t="str">
        <f aca="false">IF(L110&gt;=90,"Top Performer",IF(L110&gt;=75,"High Performer",IF(L110&gt;=60,"Average","Needs Improvement")))</f>
        <v>High Performer</v>
      </c>
      <c r="T110" s="25" t="str">
        <f aca="false">IF(J110&gt;=4,"Active","Low Usage")</f>
        <v>Low Usage</v>
      </c>
    </row>
    <row r="111" customFormat="false" ht="15" hidden="false" customHeight="true" outlineLevel="0" collapsed="false">
      <c r="A111" s="56" t="n">
        <v>1110</v>
      </c>
      <c r="B111" s="56" t="s">
        <v>102</v>
      </c>
      <c r="C111" s="56" t="s">
        <v>297</v>
      </c>
      <c r="D111" s="56" t="s">
        <v>95</v>
      </c>
      <c r="E111" s="56" t="s">
        <v>230</v>
      </c>
      <c r="F111" s="56" t="s">
        <v>217</v>
      </c>
      <c r="G111" s="56" t="s">
        <v>218</v>
      </c>
      <c r="H111" s="56" t="s">
        <v>148</v>
      </c>
      <c r="I111" s="56" t="s">
        <v>82</v>
      </c>
      <c r="J111" s="56" t="n">
        <v>5.2</v>
      </c>
      <c r="K111" s="56" t="n">
        <v>21</v>
      </c>
      <c r="L111" s="56" t="n">
        <v>63.4</v>
      </c>
      <c r="M111" s="56" t="n">
        <v>4.1</v>
      </c>
      <c r="N111" s="56" t="n">
        <v>3.5</v>
      </c>
      <c r="O111" s="56" t="s">
        <v>228</v>
      </c>
      <c r="P111" s="56" t="n">
        <v>52</v>
      </c>
      <c r="Q111" s="56" t="n">
        <v>31.5</v>
      </c>
      <c r="R111" s="56" t="n">
        <v>63.6</v>
      </c>
      <c r="S111" s="56" t="str">
        <f aca="false">IF(L111&gt;=90,"Top Performer",IF(L111&gt;=75,"High Performer",IF(L111&gt;=60,"Average","Needs Improvement")))</f>
        <v>Average</v>
      </c>
      <c r="T111" s="56" t="str">
        <f aca="false">IF(J111&gt;=4,"Active","Low Usage")</f>
        <v>Active</v>
      </c>
    </row>
    <row r="112" customFormat="false" ht="15" hidden="false" customHeight="true" outlineLevel="0" collapsed="false">
      <c r="A112" s="25" t="n">
        <v>1111</v>
      </c>
      <c r="B112" s="25" t="s">
        <v>107</v>
      </c>
      <c r="C112" s="25" t="s">
        <v>313</v>
      </c>
      <c r="D112" s="25" t="s">
        <v>101</v>
      </c>
      <c r="E112" s="25" t="s">
        <v>233</v>
      </c>
      <c r="F112" s="25" t="s">
        <v>234</v>
      </c>
      <c r="G112" s="25" t="s">
        <v>241</v>
      </c>
      <c r="H112" s="25" t="s">
        <v>148</v>
      </c>
      <c r="I112" s="25" t="s">
        <v>81</v>
      </c>
      <c r="J112" s="25" t="n">
        <v>5.1</v>
      </c>
      <c r="K112" s="25" t="n">
        <v>7</v>
      </c>
      <c r="L112" s="55" t="n">
        <v>90.5</v>
      </c>
      <c r="M112" s="25" t="n">
        <v>2.1</v>
      </c>
      <c r="N112" s="55" t="n">
        <v>3.1</v>
      </c>
      <c r="O112" s="25" t="s">
        <v>228</v>
      </c>
      <c r="P112" s="25" t="n">
        <v>52</v>
      </c>
      <c r="Q112" s="25" t="n">
        <v>32.8</v>
      </c>
      <c r="R112" s="25" t="n">
        <v>89.9</v>
      </c>
      <c r="S112" s="25" t="str">
        <f aca="false">IF(L112&gt;=90,"Top Performer",IF(L112&gt;=75,"High Performer",IF(L112&gt;=60,"Average","Needs Improvement")))</f>
        <v>Top Performer</v>
      </c>
      <c r="T112" s="25" t="str">
        <f aca="false">IF(J112&gt;=4,"Active","Low Usage")</f>
        <v>Active</v>
      </c>
    </row>
    <row r="113" customFormat="false" ht="15" hidden="false" customHeight="true" outlineLevel="0" collapsed="false">
      <c r="A113" s="56" t="n">
        <v>1112</v>
      </c>
      <c r="B113" s="56" t="s">
        <v>111</v>
      </c>
      <c r="C113" s="56" t="s">
        <v>295</v>
      </c>
      <c r="D113" s="56" t="s">
        <v>101</v>
      </c>
      <c r="E113" s="56" t="s">
        <v>216</v>
      </c>
      <c r="F113" s="56" t="s">
        <v>226</v>
      </c>
      <c r="G113" s="56" t="s">
        <v>239</v>
      </c>
      <c r="H113" s="56" t="s">
        <v>149</v>
      </c>
      <c r="I113" s="56" t="s">
        <v>83</v>
      </c>
      <c r="J113" s="56" t="n">
        <v>4</v>
      </c>
      <c r="K113" s="56" t="n">
        <v>24</v>
      </c>
      <c r="L113" s="56" t="n">
        <v>75.8</v>
      </c>
      <c r="M113" s="56" t="n">
        <v>2.9</v>
      </c>
      <c r="N113" s="56" t="n">
        <v>4.4</v>
      </c>
      <c r="O113" s="56" t="s">
        <v>223</v>
      </c>
      <c r="P113" s="56" t="n">
        <v>25</v>
      </c>
      <c r="Q113" s="56" t="n">
        <v>12.6</v>
      </c>
      <c r="R113" s="56" t="n">
        <v>62.3</v>
      </c>
      <c r="S113" s="56" t="str">
        <f aca="false">IF(L113&gt;=90,"Top Performer",IF(L113&gt;=75,"High Performer",IF(L113&gt;=60,"Average","Needs Improvement")))</f>
        <v>High Performer</v>
      </c>
      <c r="T113" s="56" t="str">
        <f aca="false">IF(J113&gt;=4,"Active","Low Usage")</f>
        <v>Active</v>
      </c>
    </row>
    <row r="114" customFormat="false" ht="15" hidden="false" customHeight="true" outlineLevel="0" collapsed="false">
      <c r="A114" s="25" t="n">
        <v>1113</v>
      </c>
      <c r="B114" s="25" t="s">
        <v>102</v>
      </c>
      <c r="C114" s="25" t="s">
        <v>314</v>
      </c>
      <c r="D114" s="25" t="s">
        <v>99</v>
      </c>
      <c r="E114" s="25" t="s">
        <v>225</v>
      </c>
      <c r="F114" s="25" t="s">
        <v>236</v>
      </c>
      <c r="G114" s="25" t="s">
        <v>218</v>
      </c>
      <c r="H114" s="25" t="s">
        <v>148</v>
      </c>
      <c r="I114" s="25" t="s">
        <v>83</v>
      </c>
      <c r="J114" s="25" t="n">
        <v>2.2</v>
      </c>
      <c r="K114" s="25" t="n">
        <v>25</v>
      </c>
      <c r="L114" s="55" t="n">
        <v>86.6</v>
      </c>
      <c r="M114" s="25" t="n">
        <v>1.6</v>
      </c>
      <c r="N114" s="55" t="n">
        <v>5</v>
      </c>
      <c r="O114" s="25" t="s">
        <v>219</v>
      </c>
      <c r="P114" s="25" t="n">
        <v>0</v>
      </c>
      <c r="Q114" s="25" t="n">
        <v>36.6</v>
      </c>
      <c r="R114" s="25" t="n">
        <v>80.1</v>
      </c>
      <c r="S114" s="25" t="str">
        <f aca="false">IF(L114&gt;=90,"Top Performer",IF(L114&gt;=75,"High Performer",IF(L114&gt;=60,"Average","Needs Improvement")))</f>
        <v>High Performer</v>
      </c>
      <c r="T114" s="25" t="str">
        <f aca="false">IF(J114&gt;=4,"Active","Low Usage")</f>
        <v>Low Usage</v>
      </c>
    </row>
    <row r="115" customFormat="false" ht="15" hidden="false" customHeight="true" outlineLevel="0" collapsed="false">
      <c r="A115" s="56" t="n">
        <v>1114</v>
      </c>
      <c r="B115" s="56" t="s">
        <v>100</v>
      </c>
      <c r="C115" s="56" t="s">
        <v>294</v>
      </c>
      <c r="D115" s="56" t="s">
        <v>97</v>
      </c>
      <c r="E115" s="56" t="s">
        <v>230</v>
      </c>
      <c r="F115" s="56" t="s">
        <v>236</v>
      </c>
      <c r="G115" s="56" t="s">
        <v>248</v>
      </c>
      <c r="H115" s="56" t="s">
        <v>148</v>
      </c>
      <c r="I115" s="56" t="s">
        <v>80</v>
      </c>
      <c r="J115" s="56" t="n">
        <v>1.3</v>
      </c>
      <c r="K115" s="56" t="n">
        <v>8</v>
      </c>
      <c r="L115" s="56" t="n">
        <v>67.5</v>
      </c>
      <c r="M115" s="56" t="n">
        <v>0.7</v>
      </c>
      <c r="N115" s="56" t="n">
        <v>4.2</v>
      </c>
      <c r="O115" s="56" t="s">
        <v>219</v>
      </c>
      <c r="P115" s="56" t="n">
        <v>0</v>
      </c>
      <c r="Q115" s="56" t="n">
        <v>43.7</v>
      </c>
      <c r="R115" s="56" t="n">
        <v>95.2</v>
      </c>
      <c r="S115" s="56" t="str">
        <f aca="false">IF(L115&gt;=90,"Top Performer",IF(L115&gt;=75,"High Performer",IF(L115&gt;=60,"Average","Needs Improvement")))</f>
        <v>Average</v>
      </c>
      <c r="T115" s="56" t="str">
        <f aca="false">IF(J115&gt;=4,"Active","Low Usage")</f>
        <v>Low Usage</v>
      </c>
    </row>
    <row r="116" customFormat="false" ht="15" hidden="false" customHeight="true" outlineLevel="0" collapsed="false">
      <c r="A116" s="25" t="n">
        <v>1115</v>
      </c>
      <c r="B116" s="25" t="s">
        <v>109</v>
      </c>
      <c r="C116" s="25" t="s">
        <v>302</v>
      </c>
      <c r="D116" s="25" t="s">
        <v>101</v>
      </c>
      <c r="E116" s="25" t="s">
        <v>216</v>
      </c>
      <c r="F116" s="25" t="s">
        <v>217</v>
      </c>
      <c r="G116" s="25" t="s">
        <v>218</v>
      </c>
      <c r="H116" s="25" t="s">
        <v>148</v>
      </c>
      <c r="I116" s="25" t="s">
        <v>82</v>
      </c>
      <c r="J116" s="25" t="n">
        <v>6</v>
      </c>
      <c r="K116" s="25" t="n">
        <v>34</v>
      </c>
      <c r="L116" s="55" t="n">
        <v>76.4</v>
      </c>
      <c r="M116" s="25" t="n">
        <v>3.1</v>
      </c>
      <c r="N116" s="55" t="n">
        <v>3</v>
      </c>
      <c r="O116" s="25" t="s">
        <v>223</v>
      </c>
      <c r="P116" s="25" t="n">
        <v>25</v>
      </c>
      <c r="Q116" s="25" t="n">
        <v>43.8</v>
      </c>
      <c r="R116" s="25" t="n">
        <v>68.4</v>
      </c>
      <c r="S116" s="25" t="str">
        <f aca="false">IF(L116&gt;=90,"Top Performer",IF(L116&gt;=75,"High Performer",IF(L116&gt;=60,"Average","Needs Improvement")))</f>
        <v>High Performer</v>
      </c>
      <c r="T116" s="25" t="str">
        <f aca="false">IF(J116&gt;=4,"Active","Low Usage")</f>
        <v>Active</v>
      </c>
    </row>
    <row r="117" customFormat="false" ht="15" hidden="false" customHeight="true" outlineLevel="0" collapsed="false">
      <c r="A117" s="56" t="n">
        <v>1116</v>
      </c>
      <c r="B117" s="56" t="s">
        <v>106</v>
      </c>
      <c r="C117" s="56" t="s">
        <v>315</v>
      </c>
      <c r="D117" s="56" t="s">
        <v>93</v>
      </c>
      <c r="E117" s="56" t="s">
        <v>249</v>
      </c>
      <c r="F117" s="56" t="s">
        <v>217</v>
      </c>
      <c r="G117" s="56" t="s">
        <v>239</v>
      </c>
      <c r="H117" s="56" t="s">
        <v>149</v>
      </c>
      <c r="I117" s="56" t="s">
        <v>82</v>
      </c>
      <c r="J117" s="56" t="n">
        <v>3.5</v>
      </c>
      <c r="K117" s="56" t="n">
        <v>11</v>
      </c>
      <c r="L117" s="56" t="n">
        <v>73.5</v>
      </c>
      <c r="M117" s="56" t="n">
        <v>2.6</v>
      </c>
      <c r="N117" s="56" t="n">
        <v>4.5</v>
      </c>
      <c r="O117" s="56" t="s">
        <v>223</v>
      </c>
      <c r="P117" s="56" t="n">
        <v>23</v>
      </c>
      <c r="Q117" s="56" t="n">
        <v>11.6</v>
      </c>
      <c r="R117" s="56" t="n">
        <v>62</v>
      </c>
      <c r="S117" s="56" t="str">
        <f aca="false">IF(L117&gt;=90,"Top Performer",IF(L117&gt;=75,"High Performer",IF(L117&gt;=60,"Average","Needs Improvement")))</f>
        <v>Average</v>
      </c>
      <c r="T117" s="56" t="str">
        <f aca="false">IF(J117&gt;=4,"Active","Low Usage")</f>
        <v>Low Usage</v>
      </c>
    </row>
    <row r="118" customFormat="false" ht="15" hidden="false" customHeight="true" outlineLevel="0" collapsed="false">
      <c r="A118" s="25" t="n">
        <v>1117</v>
      </c>
      <c r="B118" s="25" t="s">
        <v>94</v>
      </c>
      <c r="C118" s="25" t="s">
        <v>265</v>
      </c>
      <c r="D118" s="25" t="s">
        <v>95</v>
      </c>
      <c r="E118" s="25" t="s">
        <v>236</v>
      </c>
      <c r="F118" s="25" t="s">
        <v>221</v>
      </c>
      <c r="G118" s="25" t="s">
        <v>253</v>
      </c>
      <c r="H118" s="25" t="s">
        <v>148</v>
      </c>
      <c r="I118" s="25" t="s">
        <v>84</v>
      </c>
      <c r="J118" s="25" t="n">
        <v>4.7</v>
      </c>
      <c r="K118" s="25" t="n">
        <v>22</v>
      </c>
      <c r="L118" s="55" t="n">
        <v>90.5</v>
      </c>
      <c r="M118" s="25" t="n">
        <v>3.1</v>
      </c>
      <c r="N118" s="55" t="n">
        <v>4.2</v>
      </c>
      <c r="O118" s="25" t="s">
        <v>219</v>
      </c>
      <c r="P118" s="25" t="n">
        <v>0</v>
      </c>
      <c r="Q118" s="25" t="n">
        <v>44.1</v>
      </c>
      <c r="R118" s="25" t="n">
        <v>75.4</v>
      </c>
      <c r="S118" s="25" t="str">
        <f aca="false">IF(L118&gt;=90,"Top Performer",IF(L118&gt;=75,"High Performer",IF(L118&gt;=60,"Average","Needs Improvement")))</f>
        <v>Top Performer</v>
      </c>
      <c r="T118" s="25" t="str">
        <f aca="false">IF(J118&gt;=4,"Active","Low Usage")</f>
        <v>Active</v>
      </c>
    </row>
    <row r="119" customFormat="false" ht="15" hidden="false" customHeight="true" outlineLevel="0" collapsed="false">
      <c r="A119" s="56" t="n">
        <v>1118</v>
      </c>
      <c r="B119" s="56" t="s">
        <v>106</v>
      </c>
      <c r="C119" s="56" t="s">
        <v>260</v>
      </c>
      <c r="D119" s="56" t="s">
        <v>101</v>
      </c>
      <c r="E119" s="56" t="s">
        <v>236</v>
      </c>
      <c r="F119" s="56" t="s">
        <v>234</v>
      </c>
      <c r="G119" s="56" t="s">
        <v>218</v>
      </c>
      <c r="H119" s="56" t="s">
        <v>148</v>
      </c>
      <c r="I119" s="56" t="s">
        <v>82</v>
      </c>
      <c r="J119" s="56" t="n">
        <v>3.3</v>
      </c>
      <c r="K119" s="56" t="n">
        <v>7</v>
      </c>
      <c r="L119" s="56" t="n">
        <v>56.7</v>
      </c>
      <c r="M119" s="56" t="n">
        <v>2.3</v>
      </c>
      <c r="N119" s="56" t="n">
        <v>4.6</v>
      </c>
      <c r="O119" s="56" t="s">
        <v>228</v>
      </c>
      <c r="P119" s="56" t="n">
        <v>55</v>
      </c>
      <c r="Q119" s="56" t="n">
        <v>15.2</v>
      </c>
      <c r="R119" s="56" t="n">
        <v>94.8</v>
      </c>
      <c r="S119" s="56" t="str">
        <f aca="false">IF(L119&gt;=90,"Top Performer",IF(L119&gt;=75,"High Performer",IF(L119&gt;=60,"Average","Needs Improvement")))</f>
        <v>Needs Improvement</v>
      </c>
      <c r="T119" s="56" t="str">
        <f aca="false">IF(J119&gt;=4,"Active","Low Usage")</f>
        <v>Low Usage</v>
      </c>
    </row>
    <row r="120" customFormat="false" ht="15" hidden="false" customHeight="true" outlineLevel="0" collapsed="false">
      <c r="A120" s="25" t="n">
        <v>1119</v>
      </c>
      <c r="B120" s="25" t="s">
        <v>103</v>
      </c>
      <c r="C120" s="25" t="s">
        <v>316</v>
      </c>
      <c r="D120" s="25" t="s">
        <v>97</v>
      </c>
      <c r="E120" s="25" t="s">
        <v>233</v>
      </c>
      <c r="F120" s="25" t="s">
        <v>217</v>
      </c>
      <c r="G120" s="25" t="s">
        <v>241</v>
      </c>
      <c r="H120" s="25" t="s">
        <v>148</v>
      </c>
      <c r="I120" s="25" t="s">
        <v>81</v>
      </c>
      <c r="J120" s="25" t="n">
        <v>3.8</v>
      </c>
      <c r="K120" s="25" t="n">
        <v>37</v>
      </c>
      <c r="L120" s="55" t="n">
        <v>90.6</v>
      </c>
      <c r="M120" s="25" t="n">
        <v>2.3</v>
      </c>
      <c r="N120" s="55" t="n">
        <v>4.4</v>
      </c>
      <c r="O120" s="25" t="s">
        <v>223</v>
      </c>
      <c r="P120" s="25" t="n">
        <v>25</v>
      </c>
      <c r="Q120" s="25" t="n">
        <v>38.6</v>
      </c>
      <c r="R120" s="25" t="n">
        <v>74.4</v>
      </c>
      <c r="S120" s="25" t="str">
        <f aca="false">IF(L120&gt;=90,"Top Performer",IF(L120&gt;=75,"High Performer",IF(L120&gt;=60,"Average","Needs Improvement")))</f>
        <v>Top Performer</v>
      </c>
      <c r="T120" s="25" t="str">
        <f aca="false">IF(J120&gt;=4,"Active","Low Usage")</f>
        <v>Low Usage</v>
      </c>
    </row>
    <row r="121" customFormat="false" ht="15" hidden="false" customHeight="true" outlineLevel="0" collapsed="false">
      <c r="A121" s="56" t="n">
        <v>1120</v>
      </c>
      <c r="B121" s="56" t="s">
        <v>106</v>
      </c>
      <c r="C121" s="56" t="s">
        <v>315</v>
      </c>
      <c r="D121" s="56" t="s">
        <v>99</v>
      </c>
      <c r="E121" s="56" t="s">
        <v>233</v>
      </c>
      <c r="F121" s="56" t="s">
        <v>217</v>
      </c>
      <c r="G121" s="56" t="s">
        <v>231</v>
      </c>
      <c r="H121" s="56" t="s">
        <v>148</v>
      </c>
      <c r="I121" s="56" t="s">
        <v>80</v>
      </c>
      <c r="J121" s="56" t="n">
        <v>5.8</v>
      </c>
      <c r="K121" s="56" t="n">
        <v>19</v>
      </c>
      <c r="L121" s="56" t="n">
        <v>86</v>
      </c>
      <c r="M121" s="56" t="n">
        <v>3.7</v>
      </c>
      <c r="N121" s="56" t="n">
        <v>3.3</v>
      </c>
      <c r="O121" s="56" t="s">
        <v>228</v>
      </c>
      <c r="P121" s="56" t="n">
        <v>54</v>
      </c>
      <c r="Q121" s="56" t="n">
        <v>15.2</v>
      </c>
      <c r="R121" s="56" t="n">
        <v>86.5</v>
      </c>
      <c r="S121" s="56" t="str">
        <f aca="false">IF(L121&gt;=90,"Top Performer",IF(L121&gt;=75,"High Performer",IF(L121&gt;=60,"Average","Needs Improvement")))</f>
        <v>High Performer</v>
      </c>
      <c r="T121" s="56" t="str">
        <f aca="false">IF(J121&gt;=4,"Active","Low Usage")</f>
        <v>Active</v>
      </c>
    </row>
    <row r="122" customFormat="false" ht="15" hidden="false" customHeight="true" outlineLevel="0" collapsed="false">
      <c r="A122" s="25" t="n">
        <v>1121</v>
      </c>
      <c r="B122" s="25" t="s">
        <v>92</v>
      </c>
      <c r="C122" s="25" t="s">
        <v>293</v>
      </c>
      <c r="D122" s="25" t="s">
        <v>101</v>
      </c>
      <c r="E122" s="25" t="s">
        <v>216</v>
      </c>
      <c r="F122" s="25" t="s">
        <v>226</v>
      </c>
      <c r="G122" s="25" t="s">
        <v>218</v>
      </c>
      <c r="H122" s="25" t="s">
        <v>148</v>
      </c>
      <c r="I122" s="25" t="s">
        <v>80</v>
      </c>
      <c r="J122" s="25" t="n">
        <v>2.8</v>
      </c>
      <c r="K122" s="25" t="n">
        <v>31</v>
      </c>
      <c r="L122" s="55" t="n">
        <v>84.7</v>
      </c>
      <c r="M122" s="25" t="n">
        <v>1.6</v>
      </c>
      <c r="N122" s="55" t="n">
        <v>4.5</v>
      </c>
      <c r="O122" s="25" t="s">
        <v>223</v>
      </c>
      <c r="P122" s="25" t="n">
        <v>18</v>
      </c>
      <c r="Q122" s="25" t="n">
        <v>34.7</v>
      </c>
      <c r="R122" s="25" t="n">
        <v>80.2</v>
      </c>
      <c r="S122" s="25" t="str">
        <f aca="false">IF(L122&gt;=90,"Top Performer",IF(L122&gt;=75,"High Performer",IF(L122&gt;=60,"Average","Needs Improvement")))</f>
        <v>High Performer</v>
      </c>
      <c r="T122" s="25" t="str">
        <f aca="false">IF(J122&gt;=4,"Active","Low Usage")</f>
        <v>Low Usage</v>
      </c>
    </row>
    <row r="123" customFormat="false" ht="15" hidden="false" customHeight="true" outlineLevel="0" collapsed="false">
      <c r="A123" s="56" t="n">
        <v>1122</v>
      </c>
      <c r="B123" s="56" t="s">
        <v>102</v>
      </c>
      <c r="C123" s="56" t="s">
        <v>302</v>
      </c>
      <c r="D123" s="56" t="s">
        <v>97</v>
      </c>
      <c r="E123" s="56" t="s">
        <v>216</v>
      </c>
      <c r="F123" s="56" t="s">
        <v>236</v>
      </c>
      <c r="G123" s="56" t="s">
        <v>222</v>
      </c>
      <c r="H123" s="56" t="s">
        <v>148</v>
      </c>
      <c r="I123" s="56" t="s">
        <v>84</v>
      </c>
      <c r="J123" s="56" t="n">
        <v>5.5</v>
      </c>
      <c r="K123" s="56" t="n">
        <v>26</v>
      </c>
      <c r="L123" s="56" t="n">
        <v>78.5</v>
      </c>
      <c r="M123" s="56" t="n">
        <v>3.7</v>
      </c>
      <c r="N123" s="56" t="n">
        <v>4.7</v>
      </c>
      <c r="O123" s="56" t="s">
        <v>228</v>
      </c>
      <c r="P123" s="56" t="n">
        <v>52</v>
      </c>
      <c r="Q123" s="56" t="n">
        <v>31.4</v>
      </c>
      <c r="R123" s="56" t="n">
        <v>67.5</v>
      </c>
      <c r="S123" s="56" t="str">
        <f aca="false">IF(L123&gt;=90,"Top Performer",IF(L123&gt;=75,"High Performer",IF(L123&gt;=60,"Average","Needs Improvement")))</f>
        <v>High Performer</v>
      </c>
      <c r="T123" s="56" t="str">
        <f aca="false">IF(J123&gt;=4,"Active","Low Usage")</f>
        <v>Active</v>
      </c>
    </row>
    <row r="124" customFormat="false" ht="15" hidden="false" customHeight="true" outlineLevel="0" collapsed="false">
      <c r="A124" s="25" t="n">
        <v>1123</v>
      </c>
      <c r="B124" s="25" t="s">
        <v>100</v>
      </c>
      <c r="C124" s="25" t="s">
        <v>317</v>
      </c>
      <c r="D124" s="25" t="s">
        <v>97</v>
      </c>
      <c r="E124" s="25" t="s">
        <v>233</v>
      </c>
      <c r="F124" s="25" t="s">
        <v>217</v>
      </c>
      <c r="G124" s="25" t="s">
        <v>218</v>
      </c>
      <c r="H124" s="25" t="s">
        <v>148</v>
      </c>
      <c r="I124" s="25" t="s">
        <v>81</v>
      </c>
      <c r="J124" s="25" t="n">
        <v>4.3</v>
      </c>
      <c r="K124" s="25" t="n">
        <v>36</v>
      </c>
      <c r="L124" s="55" t="n">
        <v>68.6</v>
      </c>
      <c r="M124" s="25" t="n">
        <v>2.3</v>
      </c>
      <c r="N124" s="55" t="n">
        <v>4.9</v>
      </c>
      <c r="O124" s="25" t="s">
        <v>228</v>
      </c>
      <c r="P124" s="25" t="n">
        <v>52</v>
      </c>
      <c r="Q124" s="25" t="n">
        <v>20.1</v>
      </c>
      <c r="R124" s="25" t="n">
        <v>82.4</v>
      </c>
      <c r="S124" s="25" t="str">
        <f aca="false">IF(L124&gt;=90,"Top Performer",IF(L124&gt;=75,"High Performer",IF(L124&gt;=60,"Average","Needs Improvement")))</f>
        <v>Average</v>
      </c>
      <c r="T124" s="25" t="str">
        <f aca="false">IF(J124&gt;=4,"Active","Low Usage")</f>
        <v>Active</v>
      </c>
    </row>
    <row r="125" customFormat="false" ht="15" hidden="false" customHeight="true" outlineLevel="0" collapsed="false">
      <c r="A125" s="56" t="n">
        <v>1124</v>
      </c>
      <c r="B125" s="56" t="s">
        <v>100</v>
      </c>
      <c r="C125" s="56" t="s">
        <v>290</v>
      </c>
      <c r="D125" s="56" t="s">
        <v>99</v>
      </c>
      <c r="E125" s="56" t="s">
        <v>225</v>
      </c>
      <c r="F125" s="56" t="s">
        <v>217</v>
      </c>
      <c r="G125" s="56" t="s">
        <v>241</v>
      </c>
      <c r="H125" s="56" t="s">
        <v>148</v>
      </c>
      <c r="I125" s="56" t="s">
        <v>84</v>
      </c>
      <c r="J125" s="56" t="n">
        <v>5.8</v>
      </c>
      <c r="K125" s="56" t="n">
        <v>10</v>
      </c>
      <c r="L125" s="56" t="n">
        <v>69.9</v>
      </c>
      <c r="M125" s="56" t="n">
        <v>3.3</v>
      </c>
      <c r="N125" s="56" t="n">
        <v>3.5</v>
      </c>
      <c r="O125" s="56" t="s">
        <v>223</v>
      </c>
      <c r="P125" s="56" t="n">
        <v>21</v>
      </c>
      <c r="Q125" s="56" t="n">
        <v>17.1</v>
      </c>
      <c r="R125" s="56" t="n">
        <v>81</v>
      </c>
      <c r="S125" s="56" t="str">
        <f aca="false">IF(L125&gt;=90,"Top Performer",IF(L125&gt;=75,"High Performer",IF(L125&gt;=60,"Average","Needs Improvement")))</f>
        <v>Average</v>
      </c>
      <c r="T125" s="56" t="str">
        <f aca="false">IF(J125&gt;=4,"Active","Low Usage")</f>
        <v>Active</v>
      </c>
    </row>
    <row r="126" customFormat="false" ht="15" hidden="false" customHeight="true" outlineLevel="0" collapsed="false">
      <c r="A126" s="25" t="n">
        <v>1125</v>
      </c>
      <c r="B126" s="25" t="s">
        <v>98</v>
      </c>
      <c r="C126" s="25" t="s">
        <v>318</v>
      </c>
      <c r="D126" s="25" t="s">
        <v>97</v>
      </c>
      <c r="E126" s="25" t="s">
        <v>230</v>
      </c>
      <c r="F126" s="25" t="s">
        <v>226</v>
      </c>
      <c r="G126" s="25" t="s">
        <v>218</v>
      </c>
      <c r="H126" s="25" t="s">
        <v>148</v>
      </c>
      <c r="I126" s="25" t="s">
        <v>84</v>
      </c>
      <c r="J126" s="25" t="n">
        <v>4</v>
      </c>
      <c r="K126" s="25" t="n">
        <v>8</v>
      </c>
      <c r="L126" s="55" t="n">
        <v>59.3</v>
      </c>
      <c r="M126" s="25" t="n">
        <v>2.1</v>
      </c>
      <c r="N126" s="55" t="n">
        <v>3.9</v>
      </c>
      <c r="O126" s="25" t="s">
        <v>228</v>
      </c>
      <c r="P126" s="25" t="n">
        <v>50</v>
      </c>
      <c r="Q126" s="25" t="n">
        <v>10.2</v>
      </c>
      <c r="R126" s="25" t="n">
        <v>81.5</v>
      </c>
      <c r="S126" s="25" t="str">
        <f aca="false">IF(L126&gt;=90,"Top Performer",IF(L126&gt;=75,"High Performer",IF(L126&gt;=60,"Average","Needs Improvement")))</f>
        <v>Needs Improvement</v>
      </c>
      <c r="T126" s="25" t="str">
        <f aca="false">IF(J126&gt;=4,"Active","Low Usage")</f>
        <v>Active</v>
      </c>
    </row>
    <row r="127" customFormat="false" ht="15" hidden="false" customHeight="true" outlineLevel="0" collapsed="false">
      <c r="A127" s="56" t="n">
        <v>1126</v>
      </c>
      <c r="B127" s="56" t="s">
        <v>107</v>
      </c>
      <c r="C127" s="56" t="s">
        <v>250</v>
      </c>
      <c r="D127" s="56" t="s">
        <v>99</v>
      </c>
      <c r="E127" s="56" t="s">
        <v>216</v>
      </c>
      <c r="F127" s="56" t="s">
        <v>236</v>
      </c>
      <c r="G127" s="56" t="s">
        <v>239</v>
      </c>
      <c r="H127" s="56" t="s">
        <v>149</v>
      </c>
      <c r="I127" s="56" t="s">
        <v>81</v>
      </c>
      <c r="J127" s="56" t="n">
        <v>2.3</v>
      </c>
      <c r="K127" s="56" t="n">
        <v>8</v>
      </c>
      <c r="L127" s="56" t="n">
        <v>94</v>
      </c>
      <c r="M127" s="56" t="n">
        <v>1</v>
      </c>
      <c r="N127" s="56" t="n">
        <v>4.1</v>
      </c>
      <c r="O127" s="56" t="s">
        <v>228</v>
      </c>
      <c r="P127" s="56" t="n">
        <v>48</v>
      </c>
      <c r="Q127" s="56" t="n">
        <v>42</v>
      </c>
      <c r="R127" s="56" t="n">
        <v>66.8</v>
      </c>
      <c r="S127" s="56" t="str">
        <f aca="false">IF(L127&gt;=90,"Top Performer",IF(L127&gt;=75,"High Performer",IF(L127&gt;=60,"Average","Needs Improvement")))</f>
        <v>Top Performer</v>
      </c>
      <c r="T127" s="56" t="str">
        <f aca="false">IF(J127&gt;=4,"Active","Low Usage")</f>
        <v>Low Usage</v>
      </c>
    </row>
    <row r="128" customFormat="false" ht="15" hidden="false" customHeight="true" outlineLevel="0" collapsed="false">
      <c r="A128" s="25" t="n">
        <v>1127</v>
      </c>
      <c r="B128" s="25" t="s">
        <v>96</v>
      </c>
      <c r="C128" s="25" t="s">
        <v>319</v>
      </c>
      <c r="D128" s="25" t="s">
        <v>93</v>
      </c>
      <c r="E128" s="25" t="s">
        <v>243</v>
      </c>
      <c r="F128" s="25" t="s">
        <v>236</v>
      </c>
      <c r="G128" s="25" t="s">
        <v>239</v>
      </c>
      <c r="H128" s="25" t="s">
        <v>149</v>
      </c>
      <c r="I128" s="25" t="s">
        <v>81</v>
      </c>
      <c r="J128" s="25" t="n">
        <v>0.6</v>
      </c>
      <c r="K128" s="25" t="n">
        <v>11</v>
      </c>
      <c r="L128" s="55" t="n">
        <v>94.9</v>
      </c>
      <c r="M128" s="25" t="n">
        <v>0.3</v>
      </c>
      <c r="N128" s="55" t="n">
        <v>3.9</v>
      </c>
      <c r="O128" s="25" t="s">
        <v>228</v>
      </c>
      <c r="P128" s="25" t="n">
        <v>55</v>
      </c>
      <c r="Q128" s="25" t="n">
        <v>41.1</v>
      </c>
      <c r="R128" s="25" t="n">
        <v>65.2</v>
      </c>
      <c r="S128" s="25" t="str">
        <f aca="false">IF(L128&gt;=90,"Top Performer",IF(L128&gt;=75,"High Performer",IF(L128&gt;=60,"Average","Needs Improvement")))</f>
        <v>Top Performer</v>
      </c>
      <c r="T128" s="25" t="str">
        <f aca="false">IF(J128&gt;=4,"Active","Low Usage")</f>
        <v>Low Usage</v>
      </c>
    </row>
    <row r="129" customFormat="false" ht="15" hidden="false" customHeight="true" outlineLevel="0" collapsed="false">
      <c r="A129" s="56" t="n">
        <v>1128</v>
      </c>
      <c r="B129" s="56" t="s">
        <v>102</v>
      </c>
      <c r="C129" s="56" t="s">
        <v>302</v>
      </c>
      <c r="D129" s="56" t="s">
        <v>99</v>
      </c>
      <c r="E129" s="56" t="s">
        <v>236</v>
      </c>
      <c r="F129" s="56" t="s">
        <v>234</v>
      </c>
      <c r="G129" s="56" t="s">
        <v>248</v>
      </c>
      <c r="H129" s="56" t="s">
        <v>148</v>
      </c>
      <c r="I129" s="56" t="s">
        <v>84</v>
      </c>
      <c r="J129" s="56" t="n">
        <v>4.1</v>
      </c>
      <c r="K129" s="56" t="n">
        <v>16</v>
      </c>
      <c r="L129" s="56" t="n">
        <v>55.6</v>
      </c>
      <c r="M129" s="56" t="n">
        <v>2.2</v>
      </c>
      <c r="N129" s="56" t="n">
        <v>3.6</v>
      </c>
      <c r="O129" s="56" t="s">
        <v>228</v>
      </c>
      <c r="P129" s="56" t="n">
        <v>51</v>
      </c>
      <c r="Q129" s="56" t="n">
        <v>16.1</v>
      </c>
      <c r="R129" s="56" t="n">
        <v>93.4</v>
      </c>
      <c r="S129" s="56" t="str">
        <f aca="false">IF(L129&gt;=90,"Top Performer",IF(L129&gt;=75,"High Performer",IF(L129&gt;=60,"Average","Needs Improvement")))</f>
        <v>Needs Improvement</v>
      </c>
      <c r="T129" s="56" t="str">
        <f aca="false">IF(J129&gt;=4,"Active","Low Usage")</f>
        <v>Active</v>
      </c>
    </row>
    <row r="130" customFormat="false" ht="15" hidden="false" customHeight="true" outlineLevel="0" collapsed="false">
      <c r="A130" s="25" t="n">
        <v>1129</v>
      </c>
      <c r="B130" s="25" t="s">
        <v>103</v>
      </c>
      <c r="C130" s="25" t="s">
        <v>255</v>
      </c>
      <c r="D130" s="25" t="s">
        <v>99</v>
      </c>
      <c r="E130" s="25" t="s">
        <v>233</v>
      </c>
      <c r="F130" s="25" t="s">
        <v>217</v>
      </c>
      <c r="G130" s="25" t="s">
        <v>248</v>
      </c>
      <c r="H130" s="25" t="s">
        <v>148</v>
      </c>
      <c r="I130" s="25" t="s">
        <v>83</v>
      </c>
      <c r="J130" s="25" t="n">
        <v>5.9</v>
      </c>
      <c r="K130" s="25" t="n">
        <v>35</v>
      </c>
      <c r="L130" s="55" t="n">
        <v>68.9</v>
      </c>
      <c r="M130" s="25" t="n">
        <v>2.9</v>
      </c>
      <c r="N130" s="55" t="n">
        <v>3.5</v>
      </c>
      <c r="O130" s="25" t="s">
        <v>219</v>
      </c>
      <c r="P130" s="25" t="n">
        <v>0</v>
      </c>
      <c r="Q130" s="25" t="n">
        <v>25.6</v>
      </c>
      <c r="R130" s="25" t="n">
        <v>70.4</v>
      </c>
      <c r="S130" s="25" t="str">
        <f aca="false">IF(L130&gt;=90,"Top Performer",IF(L130&gt;=75,"High Performer",IF(L130&gt;=60,"Average","Needs Improvement")))</f>
        <v>Average</v>
      </c>
      <c r="T130" s="25" t="str">
        <f aca="false">IF(J130&gt;=4,"Active","Low Usage")</f>
        <v>Active</v>
      </c>
    </row>
    <row r="131" customFormat="false" ht="15" hidden="false" customHeight="true" outlineLevel="0" collapsed="false">
      <c r="A131" s="56" t="n">
        <v>1130</v>
      </c>
      <c r="B131" s="56" t="s">
        <v>100</v>
      </c>
      <c r="C131" s="56" t="s">
        <v>320</v>
      </c>
      <c r="D131" s="56" t="s">
        <v>97</v>
      </c>
      <c r="E131" s="56" t="s">
        <v>233</v>
      </c>
      <c r="F131" s="56" t="s">
        <v>221</v>
      </c>
      <c r="G131" s="56" t="s">
        <v>231</v>
      </c>
      <c r="H131" s="56" t="s">
        <v>148</v>
      </c>
      <c r="I131" s="56" t="s">
        <v>82</v>
      </c>
      <c r="J131" s="56" t="n">
        <v>0.8</v>
      </c>
      <c r="K131" s="56" t="n">
        <v>12</v>
      </c>
      <c r="L131" s="56" t="n">
        <v>75</v>
      </c>
      <c r="M131" s="56" t="n">
        <v>0.4</v>
      </c>
      <c r="N131" s="56" t="n">
        <v>4.4</v>
      </c>
      <c r="O131" s="56" t="s">
        <v>228</v>
      </c>
      <c r="P131" s="56" t="n">
        <v>52</v>
      </c>
      <c r="Q131" s="56" t="n">
        <v>34.2</v>
      </c>
      <c r="R131" s="56" t="n">
        <v>84.9</v>
      </c>
      <c r="S131" s="56" t="str">
        <f aca="false">IF(L131&gt;=90,"Top Performer",IF(L131&gt;=75,"High Performer",IF(L131&gt;=60,"Average","Needs Improvement")))</f>
        <v>High Performer</v>
      </c>
      <c r="T131" s="56" t="str">
        <f aca="false">IF(J131&gt;=4,"Active","Low Usage")</f>
        <v>Low Usage</v>
      </c>
    </row>
    <row r="132" customFormat="false" ht="15" hidden="false" customHeight="true" outlineLevel="0" collapsed="false">
      <c r="A132" s="25" t="n">
        <v>1131</v>
      </c>
      <c r="B132" s="25" t="s">
        <v>96</v>
      </c>
      <c r="C132" s="25" t="s">
        <v>321</v>
      </c>
      <c r="D132" s="25" t="s">
        <v>97</v>
      </c>
      <c r="E132" s="25" t="s">
        <v>233</v>
      </c>
      <c r="F132" s="25" t="s">
        <v>234</v>
      </c>
      <c r="G132" s="25" t="s">
        <v>218</v>
      </c>
      <c r="H132" s="25" t="s">
        <v>148</v>
      </c>
      <c r="I132" s="25" t="s">
        <v>82</v>
      </c>
      <c r="J132" s="25" t="n">
        <v>3</v>
      </c>
      <c r="K132" s="25" t="n">
        <v>28</v>
      </c>
      <c r="L132" s="55" t="n">
        <v>72.9</v>
      </c>
      <c r="M132" s="25" t="n">
        <v>1.9</v>
      </c>
      <c r="N132" s="55" t="n">
        <v>3.9</v>
      </c>
      <c r="O132" s="25" t="s">
        <v>228</v>
      </c>
      <c r="P132" s="25" t="n">
        <v>51</v>
      </c>
      <c r="Q132" s="25" t="n">
        <v>36.7</v>
      </c>
      <c r="R132" s="25" t="n">
        <v>86.5</v>
      </c>
      <c r="S132" s="25" t="str">
        <f aca="false">IF(L132&gt;=90,"Top Performer",IF(L132&gt;=75,"High Performer",IF(L132&gt;=60,"Average","Needs Improvement")))</f>
        <v>Average</v>
      </c>
      <c r="T132" s="25" t="str">
        <f aca="false">IF(J132&gt;=4,"Active","Low Usage")</f>
        <v>Low Usage</v>
      </c>
    </row>
    <row r="133" customFormat="false" ht="15" hidden="false" customHeight="true" outlineLevel="0" collapsed="false">
      <c r="A133" s="56" t="n">
        <v>1132</v>
      </c>
      <c r="B133" s="56" t="s">
        <v>94</v>
      </c>
      <c r="C133" s="56" t="s">
        <v>322</v>
      </c>
      <c r="D133" s="56" t="s">
        <v>93</v>
      </c>
      <c r="E133" s="56" t="s">
        <v>233</v>
      </c>
      <c r="F133" s="56" t="s">
        <v>236</v>
      </c>
      <c r="G133" s="56" t="s">
        <v>227</v>
      </c>
      <c r="H133" s="56" t="s">
        <v>148</v>
      </c>
      <c r="I133" s="56" t="s">
        <v>84</v>
      </c>
      <c r="J133" s="56" t="n">
        <v>0.8</v>
      </c>
      <c r="K133" s="56" t="n">
        <v>40</v>
      </c>
      <c r="L133" s="56" t="n">
        <v>93.8</v>
      </c>
      <c r="M133" s="56" t="n">
        <v>0.4</v>
      </c>
      <c r="N133" s="56" t="n">
        <v>4.1</v>
      </c>
      <c r="O133" s="56" t="s">
        <v>219</v>
      </c>
      <c r="P133" s="56" t="n">
        <v>0</v>
      </c>
      <c r="Q133" s="56" t="n">
        <v>21.5</v>
      </c>
      <c r="R133" s="56" t="n">
        <v>80.3</v>
      </c>
      <c r="S133" s="56" t="str">
        <f aca="false">IF(L133&gt;=90,"Top Performer",IF(L133&gt;=75,"High Performer",IF(L133&gt;=60,"Average","Needs Improvement")))</f>
        <v>Top Performer</v>
      </c>
      <c r="T133" s="56" t="str">
        <f aca="false">IF(J133&gt;=4,"Active","Low Usage")</f>
        <v>Low Usage</v>
      </c>
    </row>
    <row r="134" customFormat="false" ht="15" hidden="false" customHeight="true" outlineLevel="0" collapsed="false">
      <c r="A134" s="25" t="n">
        <v>1133</v>
      </c>
      <c r="B134" s="25" t="s">
        <v>94</v>
      </c>
      <c r="C134" s="25" t="s">
        <v>323</v>
      </c>
      <c r="D134" s="25" t="s">
        <v>95</v>
      </c>
      <c r="E134" s="25" t="s">
        <v>216</v>
      </c>
      <c r="F134" s="25" t="s">
        <v>221</v>
      </c>
      <c r="G134" s="25" t="s">
        <v>239</v>
      </c>
      <c r="H134" s="25" t="s">
        <v>149</v>
      </c>
      <c r="I134" s="25" t="s">
        <v>80</v>
      </c>
      <c r="J134" s="25" t="n">
        <v>4.9</v>
      </c>
      <c r="K134" s="25" t="n">
        <v>34</v>
      </c>
      <c r="L134" s="55" t="n">
        <v>60.7</v>
      </c>
      <c r="M134" s="25" t="n">
        <v>2.8</v>
      </c>
      <c r="N134" s="55" t="n">
        <v>4.1</v>
      </c>
      <c r="O134" s="25" t="s">
        <v>228</v>
      </c>
      <c r="P134" s="25" t="n">
        <v>55</v>
      </c>
      <c r="Q134" s="25" t="n">
        <v>33.5</v>
      </c>
      <c r="R134" s="25" t="n">
        <v>72</v>
      </c>
      <c r="S134" s="25" t="str">
        <f aca="false">IF(L134&gt;=90,"Top Performer",IF(L134&gt;=75,"High Performer",IF(L134&gt;=60,"Average","Needs Improvement")))</f>
        <v>Average</v>
      </c>
      <c r="T134" s="25" t="str">
        <f aca="false">IF(J134&gt;=4,"Active","Low Usage")</f>
        <v>Active</v>
      </c>
    </row>
    <row r="135" customFormat="false" ht="15" hidden="false" customHeight="true" outlineLevel="0" collapsed="false">
      <c r="A135" s="56" t="n">
        <v>1134</v>
      </c>
      <c r="B135" s="56" t="s">
        <v>106</v>
      </c>
      <c r="C135" s="56" t="s">
        <v>281</v>
      </c>
      <c r="D135" s="56" t="s">
        <v>99</v>
      </c>
      <c r="E135" s="56" t="s">
        <v>236</v>
      </c>
      <c r="F135" s="56" t="s">
        <v>226</v>
      </c>
      <c r="G135" s="56" t="s">
        <v>218</v>
      </c>
      <c r="H135" s="56" t="s">
        <v>148</v>
      </c>
      <c r="I135" s="56" t="s">
        <v>80</v>
      </c>
      <c r="J135" s="56" t="n">
        <v>2.8</v>
      </c>
      <c r="K135" s="56" t="n">
        <v>9</v>
      </c>
      <c r="L135" s="56" t="n">
        <v>78.3</v>
      </c>
      <c r="M135" s="56" t="n">
        <v>1.2</v>
      </c>
      <c r="N135" s="56" t="n">
        <v>4.8</v>
      </c>
      <c r="O135" s="56" t="s">
        <v>223</v>
      </c>
      <c r="P135" s="56" t="n">
        <v>18</v>
      </c>
      <c r="Q135" s="56" t="n">
        <v>20</v>
      </c>
      <c r="R135" s="56" t="n">
        <v>67</v>
      </c>
      <c r="S135" s="56" t="str">
        <f aca="false">IF(L135&gt;=90,"Top Performer",IF(L135&gt;=75,"High Performer",IF(L135&gt;=60,"Average","Needs Improvement")))</f>
        <v>High Performer</v>
      </c>
      <c r="T135" s="56" t="str">
        <f aca="false">IF(J135&gt;=4,"Active","Low Usage")</f>
        <v>Low Usage</v>
      </c>
    </row>
    <row r="136" customFormat="false" ht="15" hidden="false" customHeight="true" outlineLevel="0" collapsed="false">
      <c r="A136" s="25" t="n">
        <v>1135</v>
      </c>
      <c r="B136" s="25" t="s">
        <v>110</v>
      </c>
      <c r="C136" s="25" t="s">
        <v>269</v>
      </c>
      <c r="D136" s="25" t="s">
        <v>99</v>
      </c>
      <c r="E136" s="25" t="s">
        <v>236</v>
      </c>
      <c r="F136" s="25" t="s">
        <v>236</v>
      </c>
      <c r="G136" s="25" t="s">
        <v>239</v>
      </c>
      <c r="H136" s="25" t="s">
        <v>149</v>
      </c>
      <c r="I136" s="25" t="s">
        <v>81</v>
      </c>
      <c r="J136" s="25" t="n">
        <v>0.9</v>
      </c>
      <c r="K136" s="25" t="n">
        <v>39</v>
      </c>
      <c r="L136" s="55" t="n">
        <v>60.7</v>
      </c>
      <c r="M136" s="25" t="n">
        <v>0.7</v>
      </c>
      <c r="N136" s="55" t="n">
        <v>3.2</v>
      </c>
      <c r="O136" s="25" t="s">
        <v>228</v>
      </c>
      <c r="P136" s="25" t="n">
        <v>54</v>
      </c>
      <c r="Q136" s="25" t="n">
        <v>28.5</v>
      </c>
      <c r="R136" s="25" t="n">
        <v>88.4</v>
      </c>
      <c r="S136" s="25" t="str">
        <f aca="false">IF(L136&gt;=90,"Top Performer",IF(L136&gt;=75,"High Performer",IF(L136&gt;=60,"Average","Needs Improvement")))</f>
        <v>Average</v>
      </c>
      <c r="T136" s="25" t="str">
        <f aca="false">IF(J136&gt;=4,"Active","Low Usage")</f>
        <v>Low Usage</v>
      </c>
    </row>
    <row r="137" customFormat="false" ht="15" hidden="false" customHeight="true" outlineLevel="0" collapsed="false">
      <c r="A137" s="56" t="n">
        <v>1136</v>
      </c>
      <c r="B137" s="56" t="s">
        <v>104</v>
      </c>
      <c r="C137" s="56" t="s">
        <v>272</v>
      </c>
      <c r="D137" s="56" t="s">
        <v>93</v>
      </c>
      <c r="E137" s="56" t="s">
        <v>243</v>
      </c>
      <c r="F137" s="56" t="s">
        <v>226</v>
      </c>
      <c r="G137" s="56" t="s">
        <v>253</v>
      </c>
      <c r="H137" s="56" t="s">
        <v>148</v>
      </c>
      <c r="I137" s="56" t="s">
        <v>81</v>
      </c>
      <c r="J137" s="56" t="n">
        <v>3.4</v>
      </c>
      <c r="K137" s="56" t="n">
        <v>19</v>
      </c>
      <c r="L137" s="56" t="n">
        <v>65.6</v>
      </c>
      <c r="M137" s="56" t="n">
        <v>1.8</v>
      </c>
      <c r="N137" s="56" t="n">
        <v>3.6</v>
      </c>
      <c r="O137" s="56" t="s">
        <v>228</v>
      </c>
      <c r="P137" s="56" t="n">
        <v>49</v>
      </c>
      <c r="Q137" s="56" t="n">
        <v>11.1</v>
      </c>
      <c r="R137" s="56" t="n">
        <v>85.7</v>
      </c>
      <c r="S137" s="56" t="str">
        <f aca="false">IF(L137&gt;=90,"Top Performer",IF(L137&gt;=75,"High Performer",IF(L137&gt;=60,"Average","Needs Improvement")))</f>
        <v>Average</v>
      </c>
      <c r="T137" s="56" t="str">
        <f aca="false">IF(J137&gt;=4,"Active","Low Usage")</f>
        <v>Low Usage</v>
      </c>
    </row>
    <row r="138" customFormat="false" ht="15" hidden="false" customHeight="true" outlineLevel="0" collapsed="false">
      <c r="A138" s="25" t="n">
        <v>1137</v>
      </c>
      <c r="B138" s="25" t="s">
        <v>94</v>
      </c>
      <c r="C138" s="25" t="s">
        <v>324</v>
      </c>
      <c r="D138" s="25" t="s">
        <v>93</v>
      </c>
      <c r="E138" s="25" t="s">
        <v>230</v>
      </c>
      <c r="F138" s="25" t="s">
        <v>234</v>
      </c>
      <c r="G138" s="25" t="s">
        <v>248</v>
      </c>
      <c r="H138" s="25" t="s">
        <v>148</v>
      </c>
      <c r="I138" s="25" t="s">
        <v>84</v>
      </c>
      <c r="J138" s="25" t="n">
        <v>3</v>
      </c>
      <c r="K138" s="25" t="n">
        <v>8</v>
      </c>
      <c r="L138" s="55" t="n">
        <v>65.5</v>
      </c>
      <c r="M138" s="25" t="n">
        <v>1.3</v>
      </c>
      <c r="N138" s="55" t="n">
        <v>3.9</v>
      </c>
      <c r="O138" s="25" t="s">
        <v>228</v>
      </c>
      <c r="P138" s="25" t="n">
        <v>51</v>
      </c>
      <c r="Q138" s="25" t="n">
        <v>36.4</v>
      </c>
      <c r="R138" s="25" t="n">
        <v>90.3</v>
      </c>
      <c r="S138" s="25" t="str">
        <f aca="false">IF(L138&gt;=90,"Top Performer",IF(L138&gt;=75,"High Performer",IF(L138&gt;=60,"Average","Needs Improvement")))</f>
        <v>Average</v>
      </c>
      <c r="T138" s="25" t="str">
        <f aca="false">IF(J138&gt;=4,"Active","Low Usage")</f>
        <v>Low Usage</v>
      </c>
    </row>
    <row r="139" customFormat="false" ht="15" hidden="false" customHeight="true" outlineLevel="0" collapsed="false">
      <c r="A139" s="56" t="n">
        <v>1138</v>
      </c>
      <c r="B139" s="56" t="s">
        <v>106</v>
      </c>
      <c r="C139" s="56" t="s">
        <v>313</v>
      </c>
      <c r="D139" s="56" t="s">
        <v>101</v>
      </c>
      <c r="E139" s="56" t="s">
        <v>236</v>
      </c>
      <c r="F139" s="56" t="s">
        <v>234</v>
      </c>
      <c r="G139" s="56" t="s">
        <v>227</v>
      </c>
      <c r="H139" s="56" t="s">
        <v>148</v>
      </c>
      <c r="I139" s="56" t="s">
        <v>81</v>
      </c>
      <c r="J139" s="56" t="n">
        <v>1.8</v>
      </c>
      <c r="K139" s="56" t="n">
        <v>14</v>
      </c>
      <c r="L139" s="56" t="n">
        <v>97.4</v>
      </c>
      <c r="M139" s="56" t="n">
        <v>1.1</v>
      </c>
      <c r="N139" s="56" t="n">
        <v>3.8</v>
      </c>
      <c r="O139" s="56" t="s">
        <v>223</v>
      </c>
      <c r="P139" s="56" t="n">
        <v>18</v>
      </c>
      <c r="Q139" s="56" t="n">
        <v>29.5</v>
      </c>
      <c r="R139" s="56" t="n">
        <v>83.1</v>
      </c>
      <c r="S139" s="56" t="str">
        <f aca="false">IF(L139&gt;=90,"Top Performer",IF(L139&gt;=75,"High Performer",IF(L139&gt;=60,"Average","Needs Improvement")))</f>
        <v>Top Performer</v>
      </c>
      <c r="T139" s="56" t="str">
        <f aca="false">IF(J139&gt;=4,"Active","Low Usage")</f>
        <v>Low Usage</v>
      </c>
    </row>
    <row r="140" customFormat="false" ht="15" hidden="false" customHeight="true" outlineLevel="0" collapsed="false">
      <c r="A140" s="25" t="n">
        <v>1139</v>
      </c>
      <c r="B140" s="25" t="s">
        <v>102</v>
      </c>
      <c r="C140" s="25" t="s">
        <v>325</v>
      </c>
      <c r="D140" s="25" t="s">
        <v>99</v>
      </c>
      <c r="E140" s="25" t="s">
        <v>233</v>
      </c>
      <c r="F140" s="25" t="s">
        <v>236</v>
      </c>
      <c r="G140" s="25" t="s">
        <v>231</v>
      </c>
      <c r="H140" s="25" t="s">
        <v>148</v>
      </c>
      <c r="I140" s="25" t="s">
        <v>81</v>
      </c>
      <c r="J140" s="25" t="n">
        <v>4.3</v>
      </c>
      <c r="K140" s="25" t="n">
        <v>31</v>
      </c>
      <c r="L140" s="55" t="n">
        <v>61.4</v>
      </c>
      <c r="M140" s="25" t="n">
        <v>2.4</v>
      </c>
      <c r="N140" s="55" t="n">
        <v>4.5</v>
      </c>
      <c r="O140" s="25" t="s">
        <v>223</v>
      </c>
      <c r="P140" s="25" t="n">
        <v>21</v>
      </c>
      <c r="Q140" s="25" t="n">
        <v>39.7</v>
      </c>
      <c r="R140" s="25" t="n">
        <v>71.7</v>
      </c>
      <c r="S140" s="25" t="str">
        <f aca="false">IF(L140&gt;=90,"Top Performer",IF(L140&gt;=75,"High Performer",IF(L140&gt;=60,"Average","Needs Improvement")))</f>
        <v>Average</v>
      </c>
      <c r="T140" s="25" t="str">
        <f aca="false">IF(J140&gt;=4,"Active","Low Usage")</f>
        <v>Active</v>
      </c>
    </row>
    <row r="141" customFormat="false" ht="15" hidden="false" customHeight="true" outlineLevel="0" collapsed="false">
      <c r="A141" s="56" t="n">
        <v>1140</v>
      </c>
      <c r="B141" s="56" t="s">
        <v>103</v>
      </c>
      <c r="C141" s="56" t="s">
        <v>312</v>
      </c>
      <c r="D141" s="56" t="s">
        <v>99</v>
      </c>
      <c r="E141" s="56" t="s">
        <v>249</v>
      </c>
      <c r="F141" s="56" t="s">
        <v>221</v>
      </c>
      <c r="G141" s="56" t="s">
        <v>222</v>
      </c>
      <c r="H141" s="56" t="s">
        <v>148</v>
      </c>
      <c r="I141" s="56" t="s">
        <v>81</v>
      </c>
      <c r="J141" s="56" t="n">
        <v>2.6</v>
      </c>
      <c r="K141" s="56" t="n">
        <v>21</v>
      </c>
      <c r="L141" s="56" t="n">
        <v>63.7</v>
      </c>
      <c r="M141" s="56" t="n">
        <v>1.7</v>
      </c>
      <c r="N141" s="56" t="n">
        <v>4.8</v>
      </c>
      <c r="O141" s="56" t="s">
        <v>223</v>
      </c>
      <c r="P141" s="56" t="n">
        <v>19</v>
      </c>
      <c r="Q141" s="56" t="n">
        <v>28.7</v>
      </c>
      <c r="R141" s="56" t="n">
        <v>92.3</v>
      </c>
      <c r="S141" s="56" t="str">
        <f aca="false">IF(L141&gt;=90,"Top Performer",IF(L141&gt;=75,"High Performer",IF(L141&gt;=60,"Average","Needs Improvement")))</f>
        <v>Average</v>
      </c>
      <c r="T141" s="56" t="str">
        <f aca="false">IF(J141&gt;=4,"Active","Low Usage")</f>
        <v>Low Usage</v>
      </c>
    </row>
    <row r="142" customFormat="false" ht="15" hidden="false" customHeight="true" outlineLevel="0" collapsed="false">
      <c r="A142" s="25" t="n">
        <v>1141</v>
      </c>
      <c r="B142" s="25" t="s">
        <v>110</v>
      </c>
      <c r="C142" s="25" t="s">
        <v>287</v>
      </c>
      <c r="D142" s="25" t="s">
        <v>97</v>
      </c>
      <c r="E142" s="25" t="s">
        <v>225</v>
      </c>
      <c r="F142" s="25" t="s">
        <v>221</v>
      </c>
      <c r="G142" s="25" t="s">
        <v>231</v>
      </c>
      <c r="H142" s="25" t="s">
        <v>148</v>
      </c>
      <c r="I142" s="25" t="s">
        <v>80</v>
      </c>
      <c r="J142" s="25" t="n">
        <v>4.9</v>
      </c>
      <c r="K142" s="25" t="n">
        <v>40</v>
      </c>
      <c r="L142" s="55" t="n">
        <v>64.3</v>
      </c>
      <c r="M142" s="25" t="n">
        <v>2.4</v>
      </c>
      <c r="N142" s="55" t="n">
        <v>4.8</v>
      </c>
      <c r="O142" s="25" t="s">
        <v>223</v>
      </c>
      <c r="P142" s="25" t="n">
        <v>18</v>
      </c>
      <c r="Q142" s="25" t="n">
        <v>17.4</v>
      </c>
      <c r="R142" s="25" t="n">
        <v>67.4</v>
      </c>
      <c r="S142" s="25" t="str">
        <f aca="false">IF(L142&gt;=90,"Top Performer",IF(L142&gt;=75,"High Performer",IF(L142&gt;=60,"Average","Needs Improvement")))</f>
        <v>Average</v>
      </c>
      <c r="T142" s="25" t="str">
        <f aca="false">IF(J142&gt;=4,"Active","Low Usage")</f>
        <v>Active</v>
      </c>
    </row>
    <row r="143" customFormat="false" ht="15" hidden="false" customHeight="true" outlineLevel="0" collapsed="false">
      <c r="A143" s="56" t="n">
        <v>1142</v>
      </c>
      <c r="B143" s="56" t="s">
        <v>103</v>
      </c>
      <c r="C143" s="56" t="s">
        <v>326</v>
      </c>
      <c r="D143" s="56" t="s">
        <v>99</v>
      </c>
      <c r="E143" s="56" t="s">
        <v>230</v>
      </c>
      <c r="F143" s="56" t="s">
        <v>221</v>
      </c>
      <c r="G143" s="56" t="s">
        <v>218</v>
      </c>
      <c r="H143" s="56" t="s">
        <v>148</v>
      </c>
      <c r="I143" s="56" t="s">
        <v>80</v>
      </c>
      <c r="J143" s="56" t="n">
        <v>4.8</v>
      </c>
      <c r="K143" s="56" t="n">
        <v>29</v>
      </c>
      <c r="L143" s="56" t="n">
        <v>75</v>
      </c>
      <c r="M143" s="56" t="n">
        <v>3.2</v>
      </c>
      <c r="N143" s="56" t="n">
        <v>3.6</v>
      </c>
      <c r="O143" s="56" t="s">
        <v>223</v>
      </c>
      <c r="P143" s="56" t="n">
        <v>25</v>
      </c>
      <c r="Q143" s="56" t="n">
        <v>26.3</v>
      </c>
      <c r="R143" s="56" t="n">
        <v>91.3</v>
      </c>
      <c r="S143" s="56" t="str">
        <f aca="false">IF(L143&gt;=90,"Top Performer",IF(L143&gt;=75,"High Performer",IF(L143&gt;=60,"Average","Needs Improvement")))</f>
        <v>High Performer</v>
      </c>
      <c r="T143" s="56" t="str">
        <f aca="false">IF(J143&gt;=4,"Active","Low Usage")</f>
        <v>Active</v>
      </c>
    </row>
    <row r="144" customFormat="false" ht="15" hidden="false" customHeight="true" outlineLevel="0" collapsed="false">
      <c r="A144" s="25" t="n">
        <v>1143</v>
      </c>
      <c r="B144" s="25" t="s">
        <v>103</v>
      </c>
      <c r="C144" s="25" t="s">
        <v>318</v>
      </c>
      <c r="D144" s="25" t="s">
        <v>97</v>
      </c>
      <c r="E144" s="25" t="s">
        <v>230</v>
      </c>
      <c r="F144" s="25" t="s">
        <v>217</v>
      </c>
      <c r="G144" s="25" t="s">
        <v>227</v>
      </c>
      <c r="H144" s="25" t="s">
        <v>148</v>
      </c>
      <c r="I144" s="25" t="s">
        <v>83</v>
      </c>
      <c r="J144" s="25" t="n">
        <v>4.6</v>
      </c>
      <c r="K144" s="25" t="n">
        <v>6</v>
      </c>
      <c r="L144" s="55" t="n">
        <v>66.2</v>
      </c>
      <c r="M144" s="25" t="n">
        <v>3.6</v>
      </c>
      <c r="N144" s="55" t="n">
        <v>4.2</v>
      </c>
      <c r="O144" s="25" t="s">
        <v>223</v>
      </c>
      <c r="P144" s="25" t="n">
        <v>22</v>
      </c>
      <c r="Q144" s="25" t="n">
        <v>15.3</v>
      </c>
      <c r="R144" s="25" t="n">
        <v>72.9</v>
      </c>
      <c r="S144" s="25" t="str">
        <f aca="false">IF(L144&gt;=90,"Top Performer",IF(L144&gt;=75,"High Performer",IF(L144&gt;=60,"Average","Needs Improvement")))</f>
        <v>Average</v>
      </c>
      <c r="T144" s="25" t="str">
        <f aca="false">IF(J144&gt;=4,"Active","Low Usage")</f>
        <v>Active</v>
      </c>
    </row>
    <row r="145" customFormat="false" ht="15" hidden="false" customHeight="true" outlineLevel="0" collapsed="false">
      <c r="A145" s="56" t="n">
        <v>1144</v>
      </c>
      <c r="B145" s="56" t="s">
        <v>105</v>
      </c>
      <c r="C145" s="56" t="s">
        <v>327</v>
      </c>
      <c r="D145" s="56" t="s">
        <v>101</v>
      </c>
      <c r="E145" s="56" t="s">
        <v>243</v>
      </c>
      <c r="F145" s="56" t="s">
        <v>234</v>
      </c>
      <c r="G145" s="56" t="s">
        <v>239</v>
      </c>
      <c r="H145" s="56" t="s">
        <v>149</v>
      </c>
      <c r="I145" s="56" t="s">
        <v>83</v>
      </c>
      <c r="J145" s="56" t="n">
        <v>4.7</v>
      </c>
      <c r="K145" s="56" t="n">
        <v>36</v>
      </c>
      <c r="L145" s="56" t="n">
        <v>96.6</v>
      </c>
      <c r="M145" s="56" t="n">
        <v>3.1</v>
      </c>
      <c r="N145" s="56" t="n">
        <v>4</v>
      </c>
      <c r="O145" s="56" t="s">
        <v>219</v>
      </c>
      <c r="P145" s="56" t="n">
        <v>0</v>
      </c>
      <c r="Q145" s="56" t="n">
        <v>35.6</v>
      </c>
      <c r="R145" s="56" t="n">
        <v>73.7</v>
      </c>
      <c r="S145" s="56" t="str">
        <f aca="false">IF(L145&gt;=90,"Top Performer",IF(L145&gt;=75,"High Performer",IF(L145&gt;=60,"Average","Needs Improvement")))</f>
        <v>Top Performer</v>
      </c>
      <c r="T145" s="56" t="str">
        <f aca="false">IF(J145&gt;=4,"Active","Low Usage")</f>
        <v>Active</v>
      </c>
    </row>
    <row r="146" customFormat="false" ht="15" hidden="false" customHeight="true" outlineLevel="0" collapsed="false">
      <c r="A146" s="25" t="n">
        <v>1145</v>
      </c>
      <c r="B146" s="25" t="s">
        <v>105</v>
      </c>
      <c r="C146" s="25" t="s">
        <v>328</v>
      </c>
      <c r="D146" s="25" t="s">
        <v>101</v>
      </c>
      <c r="E146" s="25" t="s">
        <v>225</v>
      </c>
      <c r="F146" s="25" t="s">
        <v>234</v>
      </c>
      <c r="G146" s="25" t="s">
        <v>231</v>
      </c>
      <c r="H146" s="25" t="s">
        <v>148</v>
      </c>
      <c r="I146" s="25" t="s">
        <v>81</v>
      </c>
      <c r="J146" s="25" t="n">
        <v>5.7</v>
      </c>
      <c r="K146" s="25" t="n">
        <v>8</v>
      </c>
      <c r="L146" s="55" t="n">
        <v>87.9</v>
      </c>
      <c r="M146" s="25" t="n">
        <v>3.2</v>
      </c>
      <c r="N146" s="55" t="n">
        <v>4.7</v>
      </c>
      <c r="O146" s="25" t="s">
        <v>219</v>
      </c>
      <c r="P146" s="25" t="n">
        <v>0</v>
      </c>
      <c r="Q146" s="25" t="n">
        <v>12.4</v>
      </c>
      <c r="R146" s="25" t="n">
        <v>65.9</v>
      </c>
      <c r="S146" s="25" t="str">
        <f aca="false">IF(L146&gt;=90,"Top Performer",IF(L146&gt;=75,"High Performer",IF(L146&gt;=60,"Average","Needs Improvement")))</f>
        <v>High Performer</v>
      </c>
      <c r="T146" s="25" t="str">
        <f aca="false">IF(J146&gt;=4,"Active","Low Usage")</f>
        <v>Active</v>
      </c>
    </row>
    <row r="147" customFormat="false" ht="15" hidden="false" customHeight="true" outlineLevel="0" collapsed="false">
      <c r="A147" s="56" t="n">
        <v>1146</v>
      </c>
      <c r="B147" s="56" t="s">
        <v>106</v>
      </c>
      <c r="C147" s="56" t="s">
        <v>279</v>
      </c>
      <c r="D147" s="56" t="s">
        <v>101</v>
      </c>
      <c r="E147" s="56" t="s">
        <v>225</v>
      </c>
      <c r="F147" s="56" t="s">
        <v>217</v>
      </c>
      <c r="G147" s="56" t="s">
        <v>231</v>
      </c>
      <c r="H147" s="56" t="s">
        <v>148</v>
      </c>
      <c r="I147" s="56" t="s">
        <v>81</v>
      </c>
      <c r="J147" s="56" t="n">
        <v>4.1</v>
      </c>
      <c r="K147" s="56" t="n">
        <v>6</v>
      </c>
      <c r="L147" s="56" t="n">
        <v>55.3</v>
      </c>
      <c r="M147" s="56" t="n">
        <v>2.5</v>
      </c>
      <c r="N147" s="56" t="n">
        <v>3</v>
      </c>
      <c r="O147" s="56" t="s">
        <v>228</v>
      </c>
      <c r="P147" s="56" t="n">
        <v>52</v>
      </c>
      <c r="Q147" s="56" t="n">
        <v>28.8</v>
      </c>
      <c r="R147" s="56" t="n">
        <v>71.2</v>
      </c>
      <c r="S147" s="56" t="str">
        <f aca="false">IF(L147&gt;=90,"Top Performer",IF(L147&gt;=75,"High Performer",IF(L147&gt;=60,"Average","Needs Improvement")))</f>
        <v>Needs Improvement</v>
      </c>
      <c r="T147" s="56" t="str">
        <f aca="false">IF(J147&gt;=4,"Active","Low Usage")</f>
        <v>Active</v>
      </c>
    </row>
    <row r="148" customFormat="false" ht="15" hidden="false" customHeight="true" outlineLevel="0" collapsed="false">
      <c r="A148" s="25" t="n">
        <v>1147</v>
      </c>
      <c r="B148" s="25" t="s">
        <v>111</v>
      </c>
      <c r="C148" s="25" t="s">
        <v>255</v>
      </c>
      <c r="D148" s="25" t="s">
        <v>99</v>
      </c>
      <c r="E148" s="25" t="s">
        <v>243</v>
      </c>
      <c r="F148" s="25" t="s">
        <v>234</v>
      </c>
      <c r="G148" s="25" t="s">
        <v>248</v>
      </c>
      <c r="H148" s="25" t="s">
        <v>148</v>
      </c>
      <c r="I148" s="25" t="s">
        <v>84</v>
      </c>
      <c r="J148" s="25" t="n">
        <v>1.8</v>
      </c>
      <c r="K148" s="25" t="n">
        <v>38</v>
      </c>
      <c r="L148" s="55" t="n">
        <v>65.9</v>
      </c>
      <c r="M148" s="25" t="n">
        <v>1</v>
      </c>
      <c r="N148" s="55" t="n">
        <v>4.6</v>
      </c>
      <c r="O148" s="25" t="s">
        <v>219</v>
      </c>
      <c r="P148" s="25" t="n">
        <v>0</v>
      </c>
      <c r="Q148" s="25" t="n">
        <v>23.1</v>
      </c>
      <c r="R148" s="25" t="n">
        <v>75.8</v>
      </c>
      <c r="S148" s="25" t="str">
        <f aca="false">IF(L148&gt;=90,"Top Performer",IF(L148&gt;=75,"High Performer",IF(L148&gt;=60,"Average","Needs Improvement")))</f>
        <v>Average</v>
      </c>
      <c r="T148" s="25" t="str">
        <f aca="false">IF(J148&gt;=4,"Active","Low Usage")</f>
        <v>Low Usage</v>
      </c>
    </row>
    <row r="149" customFormat="false" ht="15" hidden="false" customHeight="true" outlineLevel="0" collapsed="false">
      <c r="A149" s="56" t="n">
        <v>1148</v>
      </c>
      <c r="B149" s="56" t="s">
        <v>107</v>
      </c>
      <c r="C149" s="56" t="s">
        <v>281</v>
      </c>
      <c r="D149" s="56" t="s">
        <v>95</v>
      </c>
      <c r="E149" s="56" t="s">
        <v>216</v>
      </c>
      <c r="F149" s="56" t="s">
        <v>234</v>
      </c>
      <c r="G149" s="56" t="s">
        <v>253</v>
      </c>
      <c r="H149" s="56" t="s">
        <v>148</v>
      </c>
      <c r="I149" s="56" t="s">
        <v>84</v>
      </c>
      <c r="J149" s="56" t="n">
        <v>1</v>
      </c>
      <c r="K149" s="56" t="n">
        <v>29</v>
      </c>
      <c r="L149" s="56" t="n">
        <v>71.2</v>
      </c>
      <c r="M149" s="56" t="n">
        <v>0.6</v>
      </c>
      <c r="N149" s="56" t="n">
        <v>4.3</v>
      </c>
      <c r="O149" s="56" t="s">
        <v>228</v>
      </c>
      <c r="P149" s="56" t="n">
        <v>50</v>
      </c>
      <c r="Q149" s="56" t="n">
        <v>12.9</v>
      </c>
      <c r="R149" s="56" t="n">
        <v>93</v>
      </c>
      <c r="S149" s="56" t="str">
        <f aca="false">IF(L149&gt;=90,"Top Performer",IF(L149&gt;=75,"High Performer",IF(L149&gt;=60,"Average","Needs Improvement")))</f>
        <v>Average</v>
      </c>
      <c r="T149" s="56" t="str">
        <f aca="false">IF(J149&gt;=4,"Active","Low Usage")</f>
        <v>Low Usage</v>
      </c>
    </row>
    <row r="150" customFormat="false" ht="15" hidden="false" customHeight="true" outlineLevel="0" collapsed="false">
      <c r="A150" s="25" t="n">
        <v>1149</v>
      </c>
      <c r="B150" s="25" t="s">
        <v>98</v>
      </c>
      <c r="C150" s="25" t="s">
        <v>329</v>
      </c>
      <c r="D150" s="25" t="s">
        <v>101</v>
      </c>
      <c r="E150" s="25" t="s">
        <v>243</v>
      </c>
      <c r="F150" s="25" t="s">
        <v>226</v>
      </c>
      <c r="G150" s="25" t="s">
        <v>231</v>
      </c>
      <c r="H150" s="25" t="s">
        <v>148</v>
      </c>
      <c r="I150" s="25" t="s">
        <v>82</v>
      </c>
      <c r="J150" s="25" t="n">
        <v>2</v>
      </c>
      <c r="K150" s="25" t="n">
        <v>9</v>
      </c>
      <c r="L150" s="55" t="n">
        <v>84.4</v>
      </c>
      <c r="M150" s="25" t="n">
        <v>1</v>
      </c>
      <c r="N150" s="55" t="n">
        <v>4.1</v>
      </c>
      <c r="O150" s="25" t="s">
        <v>228</v>
      </c>
      <c r="P150" s="25" t="n">
        <v>48</v>
      </c>
      <c r="Q150" s="25" t="n">
        <v>16.3</v>
      </c>
      <c r="R150" s="25" t="n">
        <v>93.2</v>
      </c>
      <c r="S150" s="25" t="str">
        <f aca="false">IF(L150&gt;=90,"Top Performer",IF(L150&gt;=75,"High Performer",IF(L150&gt;=60,"Average","Needs Improvement")))</f>
        <v>High Performer</v>
      </c>
      <c r="T150" s="25" t="str">
        <f aca="false">IF(J150&gt;=4,"Active","Low Usage")</f>
        <v>Low Usage</v>
      </c>
    </row>
    <row r="151" customFormat="false" ht="15" hidden="false" customHeight="true" outlineLevel="0" collapsed="false">
      <c r="A151" s="56" t="n">
        <v>1150</v>
      </c>
      <c r="B151" s="56" t="s">
        <v>111</v>
      </c>
      <c r="C151" s="56" t="s">
        <v>330</v>
      </c>
      <c r="D151" s="56" t="s">
        <v>95</v>
      </c>
      <c r="E151" s="56" t="s">
        <v>233</v>
      </c>
      <c r="F151" s="56" t="s">
        <v>234</v>
      </c>
      <c r="G151" s="56" t="s">
        <v>222</v>
      </c>
      <c r="H151" s="56" t="s">
        <v>148</v>
      </c>
      <c r="I151" s="56" t="s">
        <v>80</v>
      </c>
      <c r="J151" s="56" t="n">
        <v>1.4</v>
      </c>
      <c r="K151" s="56" t="n">
        <v>20</v>
      </c>
      <c r="L151" s="56" t="n">
        <v>79.4</v>
      </c>
      <c r="M151" s="56" t="n">
        <v>1</v>
      </c>
      <c r="N151" s="56" t="n">
        <v>4.4</v>
      </c>
      <c r="O151" s="56" t="s">
        <v>228</v>
      </c>
      <c r="P151" s="56" t="n">
        <v>53</v>
      </c>
      <c r="Q151" s="56" t="n">
        <v>23.4</v>
      </c>
      <c r="R151" s="56" t="n">
        <v>88.9</v>
      </c>
      <c r="S151" s="56" t="str">
        <f aca="false">IF(L151&gt;=90,"Top Performer",IF(L151&gt;=75,"High Performer",IF(L151&gt;=60,"Average","Needs Improvement")))</f>
        <v>High Performer</v>
      </c>
      <c r="T151" s="56" t="str">
        <f aca="false">IF(J151&gt;=4,"Active","Low Usage")</f>
        <v>Low Usage</v>
      </c>
    </row>
    <row r="152" customFormat="false" ht="15" hidden="false" customHeight="true" outlineLevel="0" collapsed="false">
      <c r="A152" s="25" t="n">
        <v>1151</v>
      </c>
      <c r="B152" s="25" t="s">
        <v>94</v>
      </c>
      <c r="C152" s="25" t="s">
        <v>331</v>
      </c>
      <c r="D152" s="25" t="s">
        <v>101</v>
      </c>
      <c r="E152" s="25" t="s">
        <v>216</v>
      </c>
      <c r="F152" s="25" t="s">
        <v>217</v>
      </c>
      <c r="G152" s="25" t="s">
        <v>231</v>
      </c>
      <c r="H152" s="25" t="s">
        <v>148</v>
      </c>
      <c r="I152" s="25" t="s">
        <v>80</v>
      </c>
      <c r="J152" s="25" t="n">
        <v>5.1</v>
      </c>
      <c r="K152" s="25" t="n">
        <v>26</v>
      </c>
      <c r="L152" s="55" t="n">
        <v>81</v>
      </c>
      <c r="M152" s="25" t="n">
        <v>3.3</v>
      </c>
      <c r="N152" s="55" t="n">
        <v>4.2</v>
      </c>
      <c r="O152" s="25" t="s">
        <v>223</v>
      </c>
      <c r="P152" s="25" t="n">
        <v>18</v>
      </c>
      <c r="Q152" s="25" t="n">
        <v>32.2</v>
      </c>
      <c r="R152" s="25" t="n">
        <v>90.6</v>
      </c>
      <c r="S152" s="25" t="str">
        <f aca="false">IF(L152&gt;=90,"Top Performer",IF(L152&gt;=75,"High Performer",IF(L152&gt;=60,"Average","Needs Improvement")))</f>
        <v>High Performer</v>
      </c>
      <c r="T152" s="25" t="str">
        <f aca="false">IF(J152&gt;=4,"Active","Low Usage")</f>
        <v>Active</v>
      </c>
    </row>
    <row r="153" customFormat="false" ht="15" hidden="false" customHeight="true" outlineLevel="0" collapsed="false">
      <c r="A153" s="56" t="n">
        <v>1152</v>
      </c>
      <c r="B153" s="56" t="s">
        <v>103</v>
      </c>
      <c r="C153" s="56" t="s">
        <v>332</v>
      </c>
      <c r="D153" s="56" t="s">
        <v>99</v>
      </c>
      <c r="E153" s="56" t="s">
        <v>230</v>
      </c>
      <c r="F153" s="56" t="s">
        <v>217</v>
      </c>
      <c r="G153" s="56" t="s">
        <v>222</v>
      </c>
      <c r="H153" s="56" t="s">
        <v>148</v>
      </c>
      <c r="I153" s="56" t="s">
        <v>83</v>
      </c>
      <c r="J153" s="56" t="n">
        <v>1</v>
      </c>
      <c r="K153" s="56" t="n">
        <v>23</v>
      </c>
      <c r="L153" s="56" t="n">
        <v>89.3</v>
      </c>
      <c r="M153" s="56" t="n">
        <v>0.7</v>
      </c>
      <c r="N153" s="56" t="n">
        <v>3.2</v>
      </c>
      <c r="O153" s="56" t="s">
        <v>219</v>
      </c>
      <c r="P153" s="56" t="n">
        <v>0</v>
      </c>
      <c r="Q153" s="56" t="n">
        <v>23.3</v>
      </c>
      <c r="R153" s="56" t="n">
        <v>90.6</v>
      </c>
      <c r="S153" s="56" t="str">
        <f aca="false">IF(L153&gt;=90,"Top Performer",IF(L153&gt;=75,"High Performer",IF(L153&gt;=60,"Average","Needs Improvement")))</f>
        <v>High Performer</v>
      </c>
      <c r="T153" s="56" t="str">
        <f aca="false">IF(J153&gt;=4,"Active","Low Usage")</f>
        <v>Low Usage</v>
      </c>
    </row>
    <row r="154" customFormat="false" ht="15" hidden="false" customHeight="true" outlineLevel="0" collapsed="false">
      <c r="A154" s="25" t="n">
        <v>1153</v>
      </c>
      <c r="B154" s="25" t="s">
        <v>94</v>
      </c>
      <c r="C154" s="25" t="s">
        <v>277</v>
      </c>
      <c r="D154" s="25" t="s">
        <v>99</v>
      </c>
      <c r="E154" s="25" t="s">
        <v>236</v>
      </c>
      <c r="F154" s="25" t="s">
        <v>217</v>
      </c>
      <c r="G154" s="25" t="s">
        <v>248</v>
      </c>
      <c r="H154" s="25" t="s">
        <v>148</v>
      </c>
      <c r="I154" s="25" t="s">
        <v>81</v>
      </c>
      <c r="J154" s="25" t="n">
        <v>2.9</v>
      </c>
      <c r="K154" s="25" t="n">
        <v>22</v>
      </c>
      <c r="L154" s="55" t="n">
        <v>59.4</v>
      </c>
      <c r="M154" s="25" t="n">
        <v>1.3</v>
      </c>
      <c r="N154" s="55" t="n">
        <v>3.9</v>
      </c>
      <c r="O154" s="25" t="s">
        <v>228</v>
      </c>
      <c r="P154" s="25" t="n">
        <v>54</v>
      </c>
      <c r="Q154" s="25" t="n">
        <v>13.6</v>
      </c>
      <c r="R154" s="25" t="n">
        <v>63.5</v>
      </c>
      <c r="S154" s="25" t="str">
        <f aca="false">IF(L154&gt;=90,"Top Performer",IF(L154&gt;=75,"High Performer",IF(L154&gt;=60,"Average","Needs Improvement")))</f>
        <v>Needs Improvement</v>
      </c>
      <c r="T154" s="25" t="str">
        <f aca="false">IF(J154&gt;=4,"Active","Low Usage")</f>
        <v>Low Usage</v>
      </c>
    </row>
    <row r="155" customFormat="false" ht="15" hidden="false" customHeight="true" outlineLevel="0" collapsed="false">
      <c r="A155" s="56" t="n">
        <v>1154</v>
      </c>
      <c r="B155" s="56" t="s">
        <v>110</v>
      </c>
      <c r="C155" s="56" t="s">
        <v>282</v>
      </c>
      <c r="D155" s="56" t="s">
        <v>93</v>
      </c>
      <c r="E155" s="56" t="s">
        <v>233</v>
      </c>
      <c r="F155" s="56" t="s">
        <v>221</v>
      </c>
      <c r="G155" s="56" t="s">
        <v>227</v>
      </c>
      <c r="H155" s="56" t="s">
        <v>148</v>
      </c>
      <c r="I155" s="56" t="s">
        <v>84</v>
      </c>
      <c r="J155" s="56" t="n">
        <v>2.1</v>
      </c>
      <c r="K155" s="56" t="n">
        <v>29</v>
      </c>
      <c r="L155" s="56" t="n">
        <v>88.5</v>
      </c>
      <c r="M155" s="56" t="n">
        <v>1.4</v>
      </c>
      <c r="N155" s="56" t="n">
        <v>4.1</v>
      </c>
      <c r="O155" s="56" t="s">
        <v>219</v>
      </c>
      <c r="P155" s="56" t="n">
        <v>0</v>
      </c>
      <c r="Q155" s="56" t="n">
        <v>30</v>
      </c>
      <c r="R155" s="56" t="n">
        <v>66.6</v>
      </c>
      <c r="S155" s="56" t="str">
        <f aca="false">IF(L155&gt;=90,"Top Performer",IF(L155&gt;=75,"High Performer",IF(L155&gt;=60,"Average","Needs Improvement")))</f>
        <v>High Performer</v>
      </c>
      <c r="T155" s="56" t="str">
        <f aca="false">IF(J155&gt;=4,"Active","Low Usage")</f>
        <v>Low Usage</v>
      </c>
    </row>
    <row r="156" customFormat="false" ht="15" hidden="false" customHeight="true" outlineLevel="0" collapsed="false">
      <c r="A156" s="25" t="n">
        <v>1155</v>
      </c>
      <c r="B156" s="25" t="s">
        <v>100</v>
      </c>
      <c r="C156" s="25" t="s">
        <v>321</v>
      </c>
      <c r="D156" s="25" t="s">
        <v>95</v>
      </c>
      <c r="E156" s="25" t="s">
        <v>230</v>
      </c>
      <c r="F156" s="25" t="s">
        <v>217</v>
      </c>
      <c r="G156" s="25" t="s">
        <v>253</v>
      </c>
      <c r="H156" s="25" t="s">
        <v>148</v>
      </c>
      <c r="I156" s="25" t="s">
        <v>83</v>
      </c>
      <c r="J156" s="25" t="n">
        <v>0.8</v>
      </c>
      <c r="K156" s="25" t="n">
        <v>32</v>
      </c>
      <c r="L156" s="55" t="n">
        <v>66.9</v>
      </c>
      <c r="M156" s="25" t="n">
        <v>0.4</v>
      </c>
      <c r="N156" s="55" t="n">
        <v>4.6</v>
      </c>
      <c r="O156" s="25" t="s">
        <v>223</v>
      </c>
      <c r="P156" s="25" t="n">
        <v>22</v>
      </c>
      <c r="Q156" s="25" t="n">
        <v>43</v>
      </c>
      <c r="R156" s="25" t="n">
        <v>88.1</v>
      </c>
      <c r="S156" s="25" t="str">
        <f aca="false">IF(L156&gt;=90,"Top Performer",IF(L156&gt;=75,"High Performer",IF(L156&gt;=60,"Average","Needs Improvement")))</f>
        <v>Average</v>
      </c>
      <c r="T156" s="25" t="str">
        <f aca="false">IF(J156&gt;=4,"Active","Low Usage")</f>
        <v>Low Usage</v>
      </c>
    </row>
    <row r="157" customFormat="false" ht="15" hidden="false" customHeight="true" outlineLevel="0" collapsed="false">
      <c r="A157" s="56" t="n">
        <v>1156</v>
      </c>
      <c r="B157" s="56" t="s">
        <v>94</v>
      </c>
      <c r="C157" s="56" t="s">
        <v>280</v>
      </c>
      <c r="D157" s="56" t="s">
        <v>101</v>
      </c>
      <c r="E157" s="56" t="s">
        <v>233</v>
      </c>
      <c r="F157" s="56" t="s">
        <v>234</v>
      </c>
      <c r="G157" s="56" t="s">
        <v>239</v>
      </c>
      <c r="H157" s="56" t="s">
        <v>149</v>
      </c>
      <c r="I157" s="56" t="s">
        <v>83</v>
      </c>
      <c r="J157" s="56" t="n">
        <v>0.5</v>
      </c>
      <c r="K157" s="56" t="n">
        <v>30</v>
      </c>
      <c r="L157" s="56" t="n">
        <v>69.3</v>
      </c>
      <c r="M157" s="56" t="n">
        <v>0.3</v>
      </c>
      <c r="N157" s="56" t="n">
        <v>4.6</v>
      </c>
      <c r="O157" s="56" t="s">
        <v>223</v>
      </c>
      <c r="P157" s="56" t="n">
        <v>25</v>
      </c>
      <c r="Q157" s="56" t="n">
        <v>21.7</v>
      </c>
      <c r="R157" s="56" t="n">
        <v>91.8</v>
      </c>
      <c r="S157" s="56" t="str">
        <f aca="false">IF(L157&gt;=90,"Top Performer",IF(L157&gt;=75,"High Performer",IF(L157&gt;=60,"Average","Needs Improvement")))</f>
        <v>Average</v>
      </c>
      <c r="T157" s="56" t="str">
        <f aca="false">IF(J157&gt;=4,"Active","Low Usage")</f>
        <v>Low Usage</v>
      </c>
    </row>
    <row r="158" customFormat="false" ht="15" hidden="false" customHeight="true" outlineLevel="0" collapsed="false">
      <c r="A158" s="25" t="n">
        <v>1157</v>
      </c>
      <c r="B158" s="25" t="s">
        <v>104</v>
      </c>
      <c r="C158" s="25" t="s">
        <v>274</v>
      </c>
      <c r="D158" s="25" t="s">
        <v>95</v>
      </c>
      <c r="E158" s="25" t="s">
        <v>236</v>
      </c>
      <c r="F158" s="25" t="s">
        <v>217</v>
      </c>
      <c r="G158" s="25" t="s">
        <v>218</v>
      </c>
      <c r="H158" s="25" t="s">
        <v>148</v>
      </c>
      <c r="I158" s="25" t="s">
        <v>84</v>
      </c>
      <c r="J158" s="25" t="n">
        <v>5.8</v>
      </c>
      <c r="K158" s="25" t="n">
        <v>25</v>
      </c>
      <c r="L158" s="55" t="n">
        <v>67.5</v>
      </c>
      <c r="M158" s="25" t="n">
        <v>3.9</v>
      </c>
      <c r="N158" s="55" t="n">
        <v>4</v>
      </c>
      <c r="O158" s="25" t="s">
        <v>228</v>
      </c>
      <c r="P158" s="25" t="n">
        <v>51</v>
      </c>
      <c r="Q158" s="25" t="n">
        <v>21.4</v>
      </c>
      <c r="R158" s="25" t="n">
        <v>70.9</v>
      </c>
      <c r="S158" s="25" t="str">
        <f aca="false">IF(L158&gt;=90,"Top Performer",IF(L158&gt;=75,"High Performer",IF(L158&gt;=60,"Average","Needs Improvement")))</f>
        <v>Average</v>
      </c>
      <c r="T158" s="25" t="str">
        <f aca="false">IF(J158&gt;=4,"Active","Low Usage")</f>
        <v>Active</v>
      </c>
    </row>
    <row r="159" customFormat="false" ht="15" hidden="false" customHeight="true" outlineLevel="0" collapsed="false">
      <c r="A159" s="56" t="n">
        <v>1158</v>
      </c>
      <c r="B159" s="56" t="s">
        <v>106</v>
      </c>
      <c r="C159" s="56" t="s">
        <v>312</v>
      </c>
      <c r="D159" s="56" t="s">
        <v>97</v>
      </c>
      <c r="E159" s="56" t="s">
        <v>249</v>
      </c>
      <c r="F159" s="56" t="s">
        <v>221</v>
      </c>
      <c r="G159" s="56" t="s">
        <v>218</v>
      </c>
      <c r="H159" s="56" t="s">
        <v>148</v>
      </c>
      <c r="I159" s="56" t="s">
        <v>83</v>
      </c>
      <c r="J159" s="56" t="n">
        <v>4.2</v>
      </c>
      <c r="K159" s="56" t="n">
        <v>40</v>
      </c>
      <c r="L159" s="56" t="n">
        <v>56.2</v>
      </c>
      <c r="M159" s="56" t="n">
        <v>2.9</v>
      </c>
      <c r="N159" s="56" t="n">
        <v>4.9</v>
      </c>
      <c r="O159" s="56" t="s">
        <v>219</v>
      </c>
      <c r="P159" s="56" t="n">
        <v>0</v>
      </c>
      <c r="Q159" s="56" t="n">
        <v>25.3</v>
      </c>
      <c r="R159" s="56" t="n">
        <v>71.4</v>
      </c>
      <c r="S159" s="56" t="str">
        <f aca="false">IF(L159&gt;=90,"Top Performer",IF(L159&gt;=75,"High Performer",IF(L159&gt;=60,"Average","Needs Improvement")))</f>
        <v>Needs Improvement</v>
      </c>
      <c r="T159" s="56" t="str">
        <f aca="false">IF(J159&gt;=4,"Active","Low Usage")</f>
        <v>Active</v>
      </c>
    </row>
    <row r="160" customFormat="false" ht="15" hidden="false" customHeight="true" outlineLevel="0" collapsed="false">
      <c r="A160" s="25" t="n">
        <v>1159</v>
      </c>
      <c r="B160" s="25" t="s">
        <v>107</v>
      </c>
      <c r="C160" s="25" t="s">
        <v>317</v>
      </c>
      <c r="D160" s="25" t="s">
        <v>99</v>
      </c>
      <c r="E160" s="25" t="s">
        <v>216</v>
      </c>
      <c r="F160" s="25" t="s">
        <v>236</v>
      </c>
      <c r="G160" s="25" t="s">
        <v>241</v>
      </c>
      <c r="H160" s="25" t="s">
        <v>148</v>
      </c>
      <c r="I160" s="25" t="s">
        <v>80</v>
      </c>
      <c r="J160" s="25" t="n">
        <v>1.9</v>
      </c>
      <c r="K160" s="25" t="n">
        <v>14</v>
      </c>
      <c r="L160" s="55" t="n">
        <v>85.8</v>
      </c>
      <c r="M160" s="25" t="n">
        <v>1.4</v>
      </c>
      <c r="N160" s="55" t="n">
        <v>3.1</v>
      </c>
      <c r="O160" s="25" t="s">
        <v>228</v>
      </c>
      <c r="P160" s="25" t="n">
        <v>55</v>
      </c>
      <c r="Q160" s="25" t="n">
        <v>30.4</v>
      </c>
      <c r="R160" s="25" t="n">
        <v>80.8</v>
      </c>
      <c r="S160" s="25" t="str">
        <f aca="false">IF(L160&gt;=90,"Top Performer",IF(L160&gt;=75,"High Performer",IF(L160&gt;=60,"Average","Needs Improvement")))</f>
        <v>High Performer</v>
      </c>
      <c r="T160" s="25" t="str">
        <f aca="false">IF(J160&gt;=4,"Active","Low Usage")</f>
        <v>Low Usage</v>
      </c>
    </row>
    <row r="161" customFormat="false" ht="15" hidden="false" customHeight="true" outlineLevel="0" collapsed="false">
      <c r="A161" s="56" t="n">
        <v>1160</v>
      </c>
      <c r="B161" s="56" t="s">
        <v>94</v>
      </c>
      <c r="C161" s="56" t="s">
        <v>326</v>
      </c>
      <c r="D161" s="56" t="s">
        <v>101</v>
      </c>
      <c r="E161" s="56" t="s">
        <v>249</v>
      </c>
      <c r="F161" s="56" t="s">
        <v>217</v>
      </c>
      <c r="G161" s="56" t="s">
        <v>248</v>
      </c>
      <c r="H161" s="56" t="s">
        <v>148</v>
      </c>
      <c r="I161" s="56" t="s">
        <v>83</v>
      </c>
      <c r="J161" s="56" t="n">
        <v>1.4</v>
      </c>
      <c r="K161" s="56" t="n">
        <v>7</v>
      </c>
      <c r="L161" s="56" t="n">
        <v>79.2</v>
      </c>
      <c r="M161" s="56" t="n">
        <v>0.9</v>
      </c>
      <c r="N161" s="56" t="n">
        <v>4.3</v>
      </c>
      <c r="O161" s="56" t="s">
        <v>223</v>
      </c>
      <c r="P161" s="56" t="n">
        <v>24</v>
      </c>
      <c r="Q161" s="56" t="n">
        <v>13.7</v>
      </c>
      <c r="R161" s="56" t="n">
        <v>63.8</v>
      </c>
      <c r="S161" s="56" t="str">
        <f aca="false">IF(L161&gt;=90,"Top Performer",IF(L161&gt;=75,"High Performer",IF(L161&gt;=60,"Average","Needs Improvement")))</f>
        <v>High Performer</v>
      </c>
      <c r="T161" s="56" t="str">
        <f aca="false">IF(J161&gt;=4,"Active","Low Usage")</f>
        <v>Low Usage</v>
      </c>
    </row>
    <row r="162" customFormat="false" ht="15" hidden="false" customHeight="true" outlineLevel="0" collapsed="false">
      <c r="A162" s="25" t="n">
        <v>1161</v>
      </c>
      <c r="B162" s="25" t="s">
        <v>104</v>
      </c>
      <c r="C162" s="25" t="s">
        <v>310</v>
      </c>
      <c r="D162" s="25" t="s">
        <v>101</v>
      </c>
      <c r="E162" s="25" t="s">
        <v>216</v>
      </c>
      <c r="F162" s="25" t="s">
        <v>221</v>
      </c>
      <c r="G162" s="25" t="s">
        <v>218</v>
      </c>
      <c r="H162" s="25" t="s">
        <v>148</v>
      </c>
      <c r="I162" s="25" t="s">
        <v>81</v>
      </c>
      <c r="J162" s="25" t="n">
        <v>3</v>
      </c>
      <c r="K162" s="25" t="n">
        <v>37</v>
      </c>
      <c r="L162" s="55" t="n">
        <v>61.5</v>
      </c>
      <c r="M162" s="25" t="n">
        <v>2.4</v>
      </c>
      <c r="N162" s="55" t="n">
        <v>4</v>
      </c>
      <c r="O162" s="25" t="s">
        <v>223</v>
      </c>
      <c r="P162" s="25" t="n">
        <v>24</v>
      </c>
      <c r="Q162" s="25" t="n">
        <v>42.2</v>
      </c>
      <c r="R162" s="25" t="n">
        <v>63.3</v>
      </c>
      <c r="S162" s="25" t="str">
        <f aca="false">IF(L162&gt;=90,"Top Performer",IF(L162&gt;=75,"High Performer",IF(L162&gt;=60,"Average","Needs Improvement")))</f>
        <v>Average</v>
      </c>
      <c r="T162" s="25" t="str">
        <f aca="false">IF(J162&gt;=4,"Active","Low Usage")</f>
        <v>Low Usage</v>
      </c>
    </row>
    <row r="163" customFormat="false" ht="15" hidden="false" customHeight="true" outlineLevel="0" collapsed="false">
      <c r="A163" s="56" t="n">
        <v>1162</v>
      </c>
      <c r="B163" s="56" t="s">
        <v>109</v>
      </c>
      <c r="C163" s="56" t="s">
        <v>329</v>
      </c>
      <c r="D163" s="56" t="s">
        <v>97</v>
      </c>
      <c r="E163" s="56" t="s">
        <v>236</v>
      </c>
      <c r="F163" s="56" t="s">
        <v>217</v>
      </c>
      <c r="G163" s="56" t="s">
        <v>239</v>
      </c>
      <c r="H163" s="56" t="s">
        <v>149</v>
      </c>
      <c r="I163" s="56" t="s">
        <v>81</v>
      </c>
      <c r="J163" s="56" t="n">
        <v>2.4</v>
      </c>
      <c r="K163" s="56" t="n">
        <v>11</v>
      </c>
      <c r="L163" s="56" t="n">
        <v>73.8</v>
      </c>
      <c r="M163" s="56" t="n">
        <v>1.6</v>
      </c>
      <c r="N163" s="56" t="n">
        <v>3.6</v>
      </c>
      <c r="O163" s="56" t="s">
        <v>223</v>
      </c>
      <c r="P163" s="56" t="n">
        <v>18</v>
      </c>
      <c r="Q163" s="56" t="n">
        <v>38.4</v>
      </c>
      <c r="R163" s="56" t="n">
        <v>64.5</v>
      </c>
      <c r="S163" s="56" t="str">
        <f aca="false">IF(L163&gt;=90,"Top Performer",IF(L163&gt;=75,"High Performer",IF(L163&gt;=60,"Average","Needs Improvement")))</f>
        <v>Average</v>
      </c>
      <c r="T163" s="56" t="str">
        <f aca="false">IF(J163&gt;=4,"Active","Low Usage")</f>
        <v>Low Usage</v>
      </c>
    </row>
    <row r="164" customFormat="false" ht="15" hidden="false" customHeight="true" outlineLevel="0" collapsed="false">
      <c r="A164" s="25" t="n">
        <v>1163</v>
      </c>
      <c r="B164" s="25" t="s">
        <v>105</v>
      </c>
      <c r="C164" s="25" t="s">
        <v>333</v>
      </c>
      <c r="D164" s="25" t="s">
        <v>93</v>
      </c>
      <c r="E164" s="25" t="s">
        <v>216</v>
      </c>
      <c r="F164" s="25" t="s">
        <v>234</v>
      </c>
      <c r="G164" s="25" t="s">
        <v>218</v>
      </c>
      <c r="H164" s="25" t="s">
        <v>148</v>
      </c>
      <c r="I164" s="25" t="s">
        <v>82</v>
      </c>
      <c r="J164" s="25" t="n">
        <v>2.3</v>
      </c>
      <c r="K164" s="25" t="n">
        <v>32</v>
      </c>
      <c r="L164" s="55" t="n">
        <v>96.2</v>
      </c>
      <c r="M164" s="25" t="n">
        <v>1.1</v>
      </c>
      <c r="N164" s="55" t="n">
        <v>3.8</v>
      </c>
      <c r="O164" s="25" t="s">
        <v>219</v>
      </c>
      <c r="P164" s="25" t="n">
        <v>0</v>
      </c>
      <c r="Q164" s="25" t="n">
        <v>16.5</v>
      </c>
      <c r="R164" s="25" t="n">
        <v>85.6</v>
      </c>
      <c r="S164" s="25" t="str">
        <f aca="false">IF(L164&gt;=90,"Top Performer",IF(L164&gt;=75,"High Performer",IF(L164&gt;=60,"Average","Needs Improvement")))</f>
        <v>Top Performer</v>
      </c>
      <c r="T164" s="25" t="str">
        <f aca="false">IF(J164&gt;=4,"Active","Low Usage")</f>
        <v>Low Usage</v>
      </c>
    </row>
    <row r="165" customFormat="false" ht="15" hidden="false" customHeight="true" outlineLevel="0" collapsed="false">
      <c r="A165" s="56" t="n">
        <v>1164</v>
      </c>
      <c r="B165" s="56" t="s">
        <v>104</v>
      </c>
      <c r="C165" s="56" t="s">
        <v>334</v>
      </c>
      <c r="D165" s="56" t="s">
        <v>93</v>
      </c>
      <c r="E165" s="56" t="s">
        <v>216</v>
      </c>
      <c r="F165" s="56" t="s">
        <v>221</v>
      </c>
      <c r="G165" s="56" t="s">
        <v>218</v>
      </c>
      <c r="H165" s="56" t="s">
        <v>148</v>
      </c>
      <c r="I165" s="56" t="s">
        <v>83</v>
      </c>
      <c r="J165" s="56" t="n">
        <v>2.6</v>
      </c>
      <c r="K165" s="56" t="n">
        <v>18</v>
      </c>
      <c r="L165" s="56" t="n">
        <v>63.8</v>
      </c>
      <c r="M165" s="56" t="n">
        <v>1.8</v>
      </c>
      <c r="N165" s="56" t="n">
        <v>4.6</v>
      </c>
      <c r="O165" s="56" t="s">
        <v>219</v>
      </c>
      <c r="P165" s="56" t="n">
        <v>0</v>
      </c>
      <c r="Q165" s="56" t="n">
        <v>30.2</v>
      </c>
      <c r="R165" s="56" t="n">
        <v>91.2</v>
      </c>
      <c r="S165" s="56" t="str">
        <f aca="false">IF(L165&gt;=90,"Top Performer",IF(L165&gt;=75,"High Performer",IF(L165&gt;=60,"Average","Needs Improvement")))</f>
        <v>Average</v>
      </c>
      <c r="T165" s="56" t="str">
        <f aca="false">IF(J165&gt;=4,"Active","Low Usage")</f>
        <v>Low Usage</v>
      </c>
    </row>
    <row r="166" customFormat="false" ht="15" hidden="false" customHeight="true" outlineLevel="0" collapsed="false">
      <c r="A166" s="25" t="n">
        <v>1165</v>
      </c>
      <c r="B166" s="25" t="s">
        <v>104</v>
      </c>
      <c r="C166" s="25" t="s">
        <v>240</v>
      </c>
      <c r="D166" s="25" t="s">
        <v>95</v>
      </c>
      <c r="E166" s="25" t="s">
        <v>236</v>
      </c>
      <c r="F166" s="25" t="s">
        <v>217</v>
      </c>
      <c r="G166" s="25" t="s">
        <v>218</v>
      </c>
      <c r="H166" s="25" t="s">
        <v>148</v>
      </c>
      <c r="I166" s="25" t="s">
        <v>84</v>
      </c>
      <c r="J166" s="25" t="n">
        <v>4.2</v>
      </c>
      <c r="K166" s="25" t="n">
        <v>36</v>
      </c>
      <c r="L166" s="55" t="n">
        <v>77.7</v>
      </c>
      <c r="M166" s="25" t="n">
        <v>2.8</v>
      </c>
      <c r="N166" s="55" t="n">
        <v>4.2</v>
      </c>
      <c r="O166" s="25" t="s">
        <v>228</v>
      </c>
      <c r="P166" s="25" t="n">
        <v>54</v>
      </c>
      <c r="Q166" s="25" t="n">
        <v>30.5</v>
      </c>
      <c r="R166" s="25" t="n">
        <v>73.6</v>
      </c>
      <c r="S166" s="25" t="str">
        <f aca="false">IF(L166&gt;=90,"Top Performer",IF(L166&gt;=75,"High Performer",IF(L166&gt;=60,"Average","Needs Improvement")))</f>
        <v>High Performer</v>
      </c>
      <c r="T166" s="25" t="str">
        <f aca="false">IF(J166&gt;=4,"Active","Low Usage")</f>
        <v>Active</v>
      </c>
    </row>
    <row r="167" customFormat="false" ht="15" hidden="false" customHeight="true" outlineLevel="0" collapsed="false">
      <c r="A167" s="56" t="n">
        <v>1166</v>
      </c>
      <c r="B167" s="56" t="s">
        <v>107</v>
      </c>
      <c r="C167" s="56" t="s">
        <v>335</v>
      </c>
      <c r="D167" s="56" t="s">
        <v>101</v>
      </c>
      <c r="E167" s="56" t="s">
        <v>230</v>
      </c>
      <c r="F167" s="56" t="s">
        <v>217</v>
      </c>
      <c r="G167" s="56" t="s">
        <v>248</v>
      </c>
      <c r="H167" s="56" t="s">
        <v>148</v>
      </c>
      <c r="I167" s="56" t="s">
        <v>83</v>
      </c>
      <c r="J167" s="56" t="n">
        <v>1.1</v>
      </c>
      <c r="K167" s="56" t="n">
        <v>24</v>
      </c>
      <c r="L167" s="56" t="n">
        <v>60</v>
      </c>
      <c r="M167" s="56" t="n">
        <v>0.6</v>
      </c>
      <c r="N167" s="56" t="n">
        <v>3.3</v>
      </c>
      <c r="O167" s="56" t="s">
        <v>223</v>
      </c>
      <c r="P167" s="56" t="n">
        <v>24</v>
      </c>
      <c r="Q167" s="56" t="n">
        <v>30.9</v>
      </c>
      <c r="R167" s="56" t="n">
        <v>82.4</v>
      </c>
      <c r="S167" s="56" t="str">
        <f aca="false">IF(L167&gt;=90,"Top Performer",IF(L167&gt;=75,"High Performer",IF(L167&gt;=60,"Average","Needs Improvement")))</f>
        <v>Average</v>
      </c>
      <c r="T167" s="56" t="str">
        <f aca="false">IF(J167&gt;=4,"Active","Low Usage")</f>
        <v>Low Usage</v>
      </c>
    </row>
    <row r="168" customFormat="false" ht="15" hidden="false" customHeight="true" outlineLevel="0" collapsed="false">
      <c r="A168" s="25" t="n">
        <v>1167</v>
      </c>
      <c r="B168" s="25" t="s">
        <v>105</v>
      </c>
      <c r="C168" s="25" t="s">
        <v>302</v>
      </c>
      <c r="D168" s="25" t="s">
        <v>95</v>
      </c>
      <c r="E168" s="25" t="s">
        <v>225</v>
      </c>
      <c r="F168" s="25" t="s">
        <v>221</v>
      </c>
      <c r="G168" s="25" t="s">
        <v>241</v>
      </c>
      <c r="H168" s="25" t="s">
        <v>148</v>
      </c>
      <c r="I168" s="25" t="s">
        <v>83</v>
      </c>
      <c r="J168" s="25" t="n">
        <v>2.1</v>
      </c>
      <c r="K168" s="25" t="n">
        <v>16</v>
      </c>
      <c r="L168" s="55" t="n">
        <v>68.5</v>
      </c>
      <c r="M168" s="25" t="n">
        <v>1.2</v>
      </c>
      <c r="N168" s="55" t="n">
        <v>3.1</v>
      </c>
      <c r="O168" s="25" t="s">
        <v>223</v>
      </c>
      <c r="P168" s="25" t="n">
        <v>18</v>
      </c>
      <c r="Q168" s="25" t="n">
        <v>27</v>
      </c>
      <c r="R168" s="25" t="n">
        <v>67.6</v>
      </c>
      <c r="S168" s="25" t="str">
        <f aca="false">IF(L168&gt;=90,"Top Performer",IF(L168&gt;=75,"High Performer",IF(L168&gt;=60,"Average","Needs Improvement")))</f>
        <v>Average</v>
      </c>
      <c r="T168" s="25" t="str">
        <f aca="false">IF(J168&gt;=4,"Active","Low Usage")</f>
        <v>Low Usage</v>
      </c>
    </row>
    <row r="169" customFormat="false" ht="15" hidden="false" customHeight="true" outlineLevel="0" collapsed="false">
      <c r="A169" s="56" t="n">
        <v>1168</v>
      </c>
      <c r="B169" s="56" t="s">
        <v>107</v>
      </c>
      <c r="C169" s="56" t="s">
        <v>246</v>
      </c>
      <c r="D169" s="56" t="s">
        <v>101</v>
      </c>
      <c r="E169" s="56" t="s">
        <v>233</v>
      </c>
      <c r="F169" s="56" t="s">
        <v>236</v>
      </c>
      <c r="G169" s="56" t="s">
        <v>222</v>
      </c>
      <c r="H169" s="56" t="s">
        <v>148</v>
      </c>
      <c r="I169" s="56" t="s">
        <v>83</v>
      </c>
      <c r="J169" s="56" t="n">
        <v>4.4</v>
      </c>
      <c r="K169" s="56" t="n">
        <v>33</v>
      </c>
      <c r="L169" s="56" t="n">
        <v>76</v>
      </c>
      <c r="M169" s="56" t="n">
        <v>1.9</v>
      </c>
      <c r="N169" s="56" t="n">
        <v>3.1</v>
      </c>
      <c r="O169" s="56" t="s">
        <v>219</v>
      </c>
      <c r="P169" s="56" t="n">
        <v>0</v>
      </c>
      <c r="Q169" s="56" t="n">
        <v>20.2</v>
      </c>
      <c r="R169" s="56" t="n">
        <v>70.7</v>
      </c>
      <c r="S169" s="56" t="str">
        <f aca="false">IF(L169&gt;=90,"Top Performer",IF(L169&gt;=75,"High Performer",IF(L169&gt;=60,"Average","Needs Improvement")))</f>
        <v>High Performer</v>
      </c>
      <c r="T169" s="56" t="str">
        <f aca="false">IF(J169&gt;=4,"Active","Low Usage")</f>
        <v>Active</v>
      </c>
    </row>
    <row r="170" customFormat="false" ht="15" hidden="false" customHeight="true" outlineLevel="0" collapsed="false">
      <c r="A170" s="25" t="n">
        <v>1169</v>
      </c>
      <c r="B170" s="25" t="s">
        <v>105</v>
      </c>
      <c r="C170" s="25" t="s">
        <v>303</v>
      </c>
      <c r="D170" s="25" t="s">
        <v>97</v>
      </c>
      <c r="E170" s="25" t="s">
        <v>230</v>
      </c>
      <c r="F170" s="25" t="s">
        <v>236</v>
      </c>
      <c r="G170" s="25" t="s">
        <v>239</v>
      </c>
      <c r="H170" s="25" t="s">
        <v>149</v>
      </c>
      <c r="I170" s="25" t="s">
        <v>84</v>
      </c>
      <c r="J170" s="25" t="n">
        <v>3.6</v>
      </c>
      <c r="K170" s="25" t="n">
        <v>22</v>
      </c>
      <c r="L170" s="55" t="n">
        <v>88.3</v>
      </c>
      <c r="M170" s="25" t="n">
        <v>2.6</v>
      </c>
      <c r="N170" s="55" t="n">
        <v>3.7</v>
      </c>
      <c r="O170" s="25" t="s">
        <v>219</v>
      </c>
      <c r="P170" s="25" t="n">
        <v>0</v>
      </c>
      <c r="Q170" s="25" t="n">
        <v>36.6</v>
      </c>
      <c r="R170" s="25" t="n">
        <v>77.2</v>
      </c>
      <c r="S170" s="25" t="str">
        <f aca="false">IF(L170&gt;=90,"Top Performer",IF(L170&gt;=75,"High Performer",IF(L170&gt;=60,"Average","Needs Improvement")))</f>
        <v>High Performer</v>
      </c>
      <c r="T170" s="25" t="str">
        <f aca="false">IF(J170&gt;=4,"Active","Low Usage")</f>
        <v>Low Usage</v>
      </c>
    </row>
    <row r="171" customFormat="false" ht="15" hidden="false" customHeight="true" outlineLevel="0" collapsed="false">
      <c r="A171" s="56" t="n">
        <v>1170</v>
      </c>
      <c r="B171" s="56" t="s">
        <v>110</v>
      </c>
      <c r="C171" s="56" t="s">
        <v>259</v>
      </c>
      <c r="D171" s="56" t="s">
        <v>99</v>
      </c>
      <c r="E171" s="56" t="s">
        <v>249</v>
      </c>
      <c r="F171" s="56" t="s">
        <v>234</v>
      </c>
      <c r="G171" s="56" t="s">
        <v>253</v>
      </c>
      <c r="H171" s="56" t="s">
        <v>148</v>
      </c>
      <c r="I171" s="56" t="s">
        <v>81</v>
      </c>
      <c r="J171" s="56" t="n">
        <v>1.9</v>
      </c>
      <c r="K171" s="56" t="n">
        <v>10</v>
      </c>
      <c r="L171" s="56" t="n">
        <v>73.9</v>
      </c>
      <c r="M171" s="56" t="n">
        <v>1.5</v>
      </c>
      <c r="N171" s="56" t="n">
        <v>4.6</v>
      </c>
      <c r="O171" s="56" t="s">
        <v>219</v>
      </c>
      <c r="P171" s="56" t="n">
        <v>0</v>
      </c>
      <c r="Q171" s="56" t="n">
        <v>17.3</v>
      </c>
      <c r="R171" s="56" t="n">
        <v>88.8</v>
      </c>
      <c r="S171" s="56" t="str">
        <f aca="false">IF(L171&gt;=90,"Top Performer",IF(L171&gt;=75,"High Performer",IF(L171&gt;=60,"Average","Needs Improvement")))</f>
        <v>Average</v>
      </c>
      <c r="T171" s="56" t="str">
        <f aca="false">IF(J171&gt;=4,"Active","Low Usage")</f>
        <v>Low Usage</v>
      </c>
    </row>
    <row r="172" customFormat="false" ht="15" hidden="false" customHeight="true" outlineLevel="0" collapsed="false">
      <c r="A172" s="25" t="n">
        <v>1171</v>
      </c>
      <c r="B172" s="25" t="s">
        <v>106</v>
      </c>
      <c r="C172" s="25" t="s">
        <v>258</v>
      </c>
      <c r="D172" s="25" t="s">
        <v>101</v>
      </c>
      <c r="E172" s="25" t="s">
        <v>216</v>
      </c>
      <c r="F172" s="25" t="s">
        <v>236</v>
      </c>
      <c r="G172" s="25" t="s">
        <v>241</v>
      </c>
      <c r="H172" s="25" t="s">
        <v>148</v>
      </c>
      <c r="I172" s="25" t="s">
        <v>82</v>
      </c>
      <c r="J172" s="25" t="n">
        <v>5</v>
      </c>
      <c r="K172" s="25" t="n">
        <v>8</v>
      </c>
      <c r="L172" s="55" t="n">
        <v>79.5</v>
      </c>
      <c r="M172" s="25" t="n">
        <v>3.1</v>
      </c>
      <c r="N172" s="55" t="n">
        <v>4.2</v>
      </c>
      <c r="O172" s="25" t="s">
        <v>219</v>
      </c>
      <c r="P172" s="25" t="n">
        <v>0</v>
      </c>
      <c r="Q172" s="25" t="n">
        <v>21.3</v>
      </c>
      <c r="R172" s="25" t="n">
        <v>87.5</v>
      </c>
      <c r="S172" s="25" t="str">
        <f aca="false">IF(L172&gt;=90,"Top Performer",IF(L172&gt;=75,"High Performer",IF(L172&gt;=60,"Average","Needs Improvement")))</f>
        <v>High Performer</v>
      </c>
      <c r="T172" s="25" t="str">
        <f aca="false">IF(J172&gt;=4,"Active","Low Usage")</f>
        <v>Active</v>
      </c>
    </row>
    <row r="173" customFormat="false" ht="15" hidden="false" customHeight="true" outlineLevel="0" collapsed="false">
      <c r="A173" s="56" t="n">
        <v>1172</v>
      </c>
      <c r="B173" s="56" t="s">
        <v>96</v>
      </c>
      <c r="C173" s="56" t="s">
        <v>336</v>
      </c>
      <c r="D173" s="56" t="s">
        <v>101</v>
      </c>
      <c r="E173" s="56" t="s">
        <v>236</v>
      </c>
      <c r="F173" s="56" t="s">
        <v>221</v>
      </c>
      <c r="G173" s="56" t="s">
        <v>248</v>
      </c>
      <c r="H173" s="56" t="s">
        <v>148</v>
      </c>
      <c r="I173" s="56" t="s">
        <v>82</v>
      </c>
      <c r="J173" s="56" t="n">
        <v>6</v>
      </c>
      <c r="K173" s="56" t="n">
        <v>13</v>
      </c>
      <c r="L173" s="56" t="n">
        <v>85.2</v>
      </c>
      <c r="M173" s="56" t="n">
        <v>2.7</v>
      </c>
      <c r="N173" s="56" t="n">
        <v>3.3</v>
      </c>
      <c r="O173" s="56" t="s">
        <v>223</v>
      </c>
      <c r="P173" s="56" t="n">
        <v>21</v>
      </c>
      <c r="Q173" s="56" t="n">
        <v>36.7</v>
      </c>
      <c r="R173" s="56" t="n">
        <v>86.4</v>
      </c>
      <c r="S173" s="56" t="str">
        <f aca="false">IF(L173&gt;=90,"Top Performer",IF(L173&gt;=75,"High Performer",IF(L173&gt;=60,"Average","Needs Improvement")))</f>
        <v>High Performer</v>
      </c>
      <c r="T173" s="56" t="str">
        <f aca="false">IF(J173&gt;=4,"Active","Low Usage")</f>
        <v>Active</v>
      </c>
    </row>
    <row r="174" customFormat="false" ht="15" hidden="false" customHeight="true" outlineLevel="0" collapsed="false">
      <c r="A174" s="25" t="n">
        <v>1173</v>
      </c>
      <c r="B174" s="25" t="s">
        <v>103</v>
      </c>
      <c r="C174" s="25" t="s">
        <v>337</v>
      </c>
      <c r="D174" s="25" t="s">
        <v>95</v>
      </c>
      <c r="E174" s="25" t="s">
        <v>233</v>
      </c>
      <c r="F174" s="25" t="s">
        <v>217</v>
      </c>
      <c r="G174" s="25" t="s">
        <v>222</v>
      </c>
      <c r="H174" s="25" t="s">
        <v>148</v>
      </c>
      <c r="I174" s="25" t="s">
        <v>83</v>
      </c>
      <c r="J174" s="25" t="n">
        <v>4</v>
      </c>
      <c r="K174" s="25" t="n">
        <v>10</v>
      </c>
      <c r="L174" s="55" t="n">
        <v>72.3</v>
      </c>
      <c r="M174" s="25" t="n">
        <v>2.8</v>
      </c>
      <c r="N174" s="55" t="n">
        <v>4.4</v>
      </c>
      <c r="O174" s="25" t="s">
        <v>223</v>
      </c>
      <c r="P174" s="25" t="n">
        <v>25</v>
      </c>
      <c r="Q174" s="25" t="n">
        <v>43.3</v>
      </c>
      <c r="R174" s="25" t="n">
        <v>72.8</v>
      </c>
      <c r="S174" s="25" t="str">
        <f aca="false">IF(L174&gt;=90,"Top Performer",IF(L174&gt;=75,"High Performer",IF(L174&gt;=60,"Average","Needs Improvement")))</f>
        <v>Average</v>
      </c>
      <c r="T174" s="25" t="str">
        <f aca="false">IF(J174&gt;=4,"Active","Low Usage")</f>
        <v>Active</v>
      </c>
    </row>
    <row r="175" customFormat="false" ht="15" hidden="false" customHeight="true" outlineLevel="0" collapsed="false">
      <c r="A175" s="56" t="n">
        <v>1174</v>
      </c>
      <c r="B175" s="56" t="s">
        <v>110</v>
      </c>
      <c r="C175" s="56" t="s">
        <v>338</v>
      </c>
      <c r="D175" s="56" t="s">
        <v>93</v>
      </c>
      <c r="E175" s="56" t="s">
        <v>216</v>
      </c>
      <c r="F175" s="56" t="s">
        <v>236</v>
      </c>
      <c r="G175" s="56" t="s">
        <v>227</v>
      </c>
      <c r="H175" s="56" t="s">
        <v>148</v>
      </c>
      <c r="I175" s="56" t="s">
        <v>80</v>
      </c>
      <c r="J175" s="56" t="n">
        <v>1.7</v>
      </c>
      <c r="K175" s="56" t="n">
        <v>32</v>
      </c>
      <c r="L175" s="56" t="n">
        <v>90.5</v>
      </c>
      <c r="M175" s="56" t="n">
        <v>1</v>
      </c>
      <c r="N175" s="56" t="n">
        <v>3.6</v>
      </c>
      <c r="O175" s="56" t="s">
        <v>223</v>
      </c>
      <c r="P175" s="56" t="n">
        <v>23</v>
      </c>
      <c r="Q175" s="56" t="n">
        <v>29.2</v>
      </c>
      <c r="R175" s="56" t="n">
        <v>65.1</v>
      </c>
      <c r="S175" s="56" t="str">
        <f aca="false">IF(L175&gt;=90,"Top Performer",IF(L175&gt;=75,"High Performer",IF(L175&gt;=60,"Average","Needs Improvement")))</f>
        <v>Top Performer</v>
      </c>
      <c r="T175" s="56" t="str">
        <f aca="false">IF(J175&gt;=4,"Active","Low Usage")</f>
        <v>Low Usage</v>
      </c>
    </row>
    <row r="176" customFormat="false" ht="15" hidden="false" customHeight="true" outlineLevel="0" collapsed="false">
      <c r="A176" s="25" t="n">
        <v>1175</v>
      </c>
      <c r="B176" s="25" t="s">
        <v>94</v>
      </c>
      <c r="C176" s="25" t="s">
        <v>339</v>
      </c>
      <c r="D176" s="25" t="s">
        <v>97</v>
      </c>
      <c r="E176" s="25" t="s">
        <v>216</v>
      </c>
      <c r="F176" s="25" t="s">
        <v>226</v>
      </c>
      <c r="G176" s="25" t="s">
        <v>231</v>
      </c>
      <c r="H176" s="25" t="s">
        <v>148</v>
      </c>
      <c r="I176" s="25" t="s">
        <v>83</v>
      </c>
      <c r="J176" s="25" t="n">
        <v>1.2</v>
      </c>
      <c r="K176" s="25" t="n">
        <v>15</v>
      </c>
      <c r="L176" s="55" t="n">
        <v>74</v>
      </c>
      <c r="M176" s="25" t="n">
        <v>0.5</v>
      </c>
      <c r="N176" s="55" t="n">
        <v>4.9</v>
      </c>
      <c r="O176" s="25" t="s">
        <v>219</v>
      </c>
      <c r="P176" s="25" t="n">
        <v>0</v>
      </c>
      <c r="Q176" s="25" t="n">
        <v>44.8</v>
      </c>
      <c r="R176" s="25" t="n">
        <v>95.5</v>
      </c>
      <c r="S176" s="25" t="str">
        <f aca="false">IF(L176&gt;=90,"Top Performer",IF(L176&gt;=75,"High Performer",IF(L176&gt;=60,"Average","Needs Improvement")))</f>
        <v>Average</v>
      </c>
      <c r="T176" s="25" t="str">
        <f aca="false">IF(J176&gt;=4,"Active","Low Usage")</f>
        <v>Low Usage</v>
      </c>
    </row>
    <row r="177" customFormat="false" ht="15" hidden="false" customHeight="true" outlineLevel="0" collapsed="false">
      <c r="A177" s="56" t="n">
        <v>1176</v>
      </c>
      <c r="B177" s="56" t="s">
        <v>107</v>
      </c>
      <c r="C177" s="56" t="s">
        <v>224</v>
      </c>
      <c r="D177" s="56" t="s">
        <v>95</v>
      </c>
      <c r="E177" s="56" t="s">
        <v>243</v>
      </c>
      <c r="F177" s="56" t="s">
        <v>217</v>
      </c>
      <c r="G177" s="56" t="s">
        <v>248</v>
      </c>
      <c r="H177" s="56" t="s">
        <v>148</v>
      </c>
      <c r="I177" s="56" t="s">
        <v>82</v>
      </c>
      <c r="J177" s="56" t="n">
        <v>1</v>
      </c>
      <c r="K177" s="56" t="n">
        <v>15</v>
      </c>
      <c r="L177" s="56" t="n">
        <v>57.2</v>
      </c>
      <c r="M177" s="56" t="n">
        <v>0.7</v>
      </c>
      <c r="N177" s="56" t="n">
        <v>4.5</v>
      </c>
      <c r="O177" s="56" t="s">
        <v>219</v>
      </c>
      <c r="P177" s="56" t="n">
        <v>0</v>
      </c>
      <c r="Q177" s="56" t="n">
        <v>25</v>
      </c>
      <c r="R177" s="56" t="n">
        <v>63.6</v>
      </c>
      <c r="S177" s="56" t="str">
        <f aca="false">IF(L177&gt;=90,"Top Performer",IF(L177&gt;=75,"High Performer",IF(L177&gt;=60,"Average","Needs Improvement")))</f>
        <v>Needs Improvement</v>
      </c>
      <c r="T177" s="56" t="str">
        <f aca="false">IF(J177&gt;=4,"Active","Low Usage")</f>
        <v>Low Usage</v>
      </c>
    </row>
    <row r="178" customFormat="false" ht="15" hidden="false" customHeight="true" outlineLevel="0" collapsed="false">
      <c r="A178" s="25" t="n">
        <v>1177</v>
      </c>
      <c r="B178" s="25" t="s">
        <v>96</v>
      </c>
      <c r="C178" s="25" t="s">
        <v>340</v>
      </c>
      <c r="D178" s="25" t="s">
        <v>93</v>
      </c>
      <c r="E178" s="25" t="s">
        <v>230</v>
      </c>
      <c r="F178" s="25" t="s">
        <v>236</v>
      </c>
      <c r="G178" s="25" t="s">
        <v>248</v>
      </c>
      <c r="H178" s="25" t="s">
        <v>148</v>
      </c>
      <c r="I178" s="25" t="s">
        <v>80</v>
      </c>
      <c r="J178" s="25" t="n">
        <v>3.4</v>
      </c>
      <c r="K178" s="25" t="n">
        <v>33</v>
      </c>
      <c r="L178" s="55" t="n">
        <v>55.4</v>
      </c>
      <c r="M178" s="25" t="n">
        <v>2.3</v>
      </c>
      <c r="N178" s="55" t="n">
        <v>4.6</v>
      </c>
      <c r="O178" s="25" t="s">
        <v>223</v>
      </c>
      <c r="P178" s="25" t="n">
        <v>20</v>
      </c>
      <c r="Q178" s="25" t="n">
        <v>26.7</v>
      </c>
      <c r="R178" s="25" t="n">
        <v>68.9</v>
      </c>
      <c r="S178" s="25" t="str">
        <f aca="false">IF(L178&gt;=90,"Top Performer",IF(L178&gt;=75,"High Performer",IF(L178&gt;=60,"Average","Needs Improvement")))</f>
        <v>Needs Improvement</v>
      </c>
      <c r="T178" s="25" t="str">
        <f aca="false">IF(J178&gt;=4,"Active","Low Usage")</f>
        <v>Low Usage</v>
      </c>
    </row>
    <row r="179" customFormat="false" ht="15" hidden="false" customHeight="true" outlineLevel="0" collapsed="false">
      <c r="A179" s="56" t="n">
        <v>1178</v>
      </c>
      <c r="B179" s="56" t="s">
        <v>111</v>
      </c>
      <c r="C179" s="56" t="s">
        <v>311</v>
      </c>
      <c r="D179" s="56" t="s">
        <v>93</v>
      </c>
      <c r="E179" s="56" t="s">
        <v>249</v>
      </c>
      <c r="F179" s="56" t="s">
        <v>217</v>
      </c>
      <c r="G179" s="56" t="s">
        <v>227</v>
      </c>
      <c r="H179" s="56" t="s">
        <v>148</v>
      </c>
      <c r="I179" s="56" t="s">
        <v>80</v>
      </c>
      <c r="J179" s="56" t="n">
        <v>2.6</v>
      </c>
      <c r="K179" s="56" t="n">
        <v>13</v>
      </c>
      <c r="L179" s="56" t="n">
        <v>82.6</v>
      </c>
      <c r="M179" s="56" t="n">
        <v>1.7</v>
      </c>
      <c r="N179" s="56" t="n">
        <v>3.1</v>
      </c>
      <c r="O179" s="56" t="s">
        <v>228</v>
      </c>
      <c r="P179" s="56" t="n">
        <v>48</v>
      </c>
      <c r="Q179" s="56" t="n">
        <v>31.4</v>
      </c>
      <c r="R179" s="56" t="n">
        <v>66.4</v>
      </c>
      <c r="S179" s="56" t="str">
        <f aca="false">IF(L179&gt;=90,"Top Performer",IF(L179&gt;=75,"High Performer",IF(L179&gt;=60,"Average","Needs Improvement")))</f>
        <v>High Performer</v>
      </c>
      <c r="T179" s="56" t="str">
        <f aca="false">IF(J179&gt;=4,"Active","Low Usage")</f>
        <v>Low Usage</v>
      </c>
    </row>
    <row r="180" customFormat="false" ht="15" hidden="false" customHeight="true" outlineLevel="0" collapsed="false">
      <c r="A180" s="25" t="n">
        <v>1179</v>
      </c>
      <c r="B180" s="25" t="s">
        <v>106</v>
      </c>
      <c r="C180" s="25" t="s">
        <v>294</v>
      </c>
      <c r="D180" s="25" t="s">
        <v>95</v>
      </c>
      <c r="E180" s="25" t="s">
        <v>216</v>
      </c>
      <c r="F180" s="25" t="s">
        <v>234</v>
      </c>
      <c r="G180" s="25" t="s">
        <v>222</v>
      </c>
      <c r="H180" s="25" t="s">
        <v>148</v>
      </c>
      <c r="I180" s="25" t="s">
        <v>82</v>
      </c>
      <c r="J180" s="25" t="n">
        <v>1</v>
      </c>
      <c r="K180" s="25" t="n">
        <v>11</v>
      </c>
      <c r="L180" s="55" t="n">
        <v>61</v>
      </c>
      <c r="M180" s="25" t="n">
        <v>0.4</v>
      </c>
      <c r="N180" s="55" t="n">
        <v>4.5</v>
      </c>
      <c r="O180" s="25" t="s">
        <v>223</v>
      </c>
      <c r="P180" s="25" t="n">
        <v>24</v>
      </c>
      <c r="Q180" s="25" t="n">
        <v>21</v>
      </c>
      <c r="R180" s="25" t="n">
        <v>65.5</v>
      </c>
      <c r="S180" s="25" t="str">
        <f aca="false">IF(L180&gt;=90,"Top Performer",IF(L180&gt;=75,"High Performer",IF(L180&gt;=60,"Average","Needs Improvement")))</f>
        <v>Average</v>
      </c>
      <c r="T180" s="25" t="str">
        <f aca="false">IF(J180&gt;=4,"Active","Low Usage")</f>
        <v>Low Usage</v>
      </c>
    </row>
    <row r="181" customFormat="false" ht="15" hidden="false" customHeight="true" outlineLevel="0" collapsed="false">
      <c r="A181" s="56" t="n">
        <v>1180</v>
      </c>
      <c r="B181" s="56" t="s">
        <v>109</v>
      </c>
      <c r="C181" s="56" t="s">
        <v>277</v>
      </c>
      <c r="D181" s="56" t="s">
        <v>93</v>
      </c>
      <c r="E181" s="56" t="s">
        <v>230</v>
      </c>
      <c r="F181" s="56" t="s">
        <v>221</v>
      </c>
      <c r="G181" s="56" t="s">
        <v>253</v>
      </c>
      <c r="H181" s="56" t="s">
        <v>148</v>
      </c>
      <c r="I181" s="56" t="s">
        <v>82</v>
      </c>
      <c r="J181" s="56" t="n">
        <v>1.6</v>
      </c>
      <c r="K181" s="56" t="n">
        <v>37</v>
      </c>
      <c r="L181" s="56" t="n">
        <v>63.1</v>
      </c>
      <c r="M181" s="56" t="n">
        <v>0.9</v>
      </c>
      <c r="N181" s="56" t="n">
        <v>4.3</v>
      </c>
      <c r="O181" s="56" t="s">
        <v>219</v>
      </c>
      <c r="P181" s="56" t="n">
        <v>0</v>
      </c>
      <c r="Q181" s="56" t="n">
        <v>27.3</v>
      </c>
      <c r="R181" s="56" t="n">
        <v>64.4</v>
      </c>
      <c r="S181" s="56" t="str">
        <f aca="false">IF(L181&gt;=90,"Top Performer",IF(L181&gt;=75,"High Performer",IF(L181&gt;=60,"Average","Needs Improvement")))</f>
        <v>Average</v>
      </c>
      <c r="T181" s="56" t="str">
        <f aca="false">IF(J181&gt;=4,"Active","Low Usage")</f>
        <v>Low Usage</v>
      </c>
    </row>
    <row r="182" customFormat="false" ht="15" hidden="false" customHeight="true" outlineLevel="0" collapsed="false">
      <c r="A182" s="25" t="n">
        <v>1181</v>
      </c>
      <c r="B182" s="25" t="s">
        <v>102</v>
      </c>
      <c r="C182" s="25" t="s">
        <v>274</v>
      </c>
      <c r="D182" s="25" t="s">
        <v>101</v>
      </c>
      <c r="E182" s="25" t="s">
        <v>249</v>
      </c>
      <c r="F182" s="25" t="s">
        <v>221</v>
      </c>
      <c r="G182" s="25" t="s">
        <v>231</v>
      </c>
      <c r="H182" s="25" t="s">
        <v>148</v>
      </c>
      <c r="I182" s="25" t="s">
        <v>83</v>
      </c>
      <c r="J182" s="25" t="n">
        <v>2.6</v>
      </c>
      <c r="K182" s="25" t="n">
        <v>31</v>
      </c>
      <c r="L182" s="55" t="n">
        <v>70.7</v>
      </c>
      <c r="M182" s="25" t="n">
        <v>1.8</v>
      </c>
      <c r="N182" s="55" t="n">
        <v>4.5</v>
      </c>
      <c r="O182" s="25" t="s">
        <v>219</v>
      </c>
      <c r="P182" s="25" t="n">
        <v>0</v>
      </c>
      <c r="Q182" s="25" t="n">
        <v>10.6</v>
      </c>
      <c r="R182" s="25" t="n">
        <v>62.6</v>
      </c>
      <c r="S182" s="25" t="str">
        <f aca="false">IF(L182&gt;=90,"Top Performer",IF(L182&gt;=75,"High Performer",IF(L182&gt;=60,"Average","Needs Improvement")))</f>
        <v>Average</v>
      </c>
      <c r="T182" s="25" t="str">
        <f aca="false">IF(J182&gt;=4,"Active","Low Usage")</f>
        <v>Low Usage</v>
      </c>
    </row>
    <row r="183" customFormat="false" ht="15" hidden="false" customHeight="true" outlineLevel="0" collapsed="false">
      <c r="A183" s="56" t="n">
        <v>1182</v>
      </c>
      <c r="B183" s="56" t="s">
        <v>105</v>
      </c>
      <c r="C183" s="56" t="s">
        <v>271</v>
      </c>
      <c r="D183" s="56" t="s">
        <v>95</v>
      </c>
      <c r="E183" s="56" t="s">
        <v>249</v>
      </c>
      <c r="F183" s="56" t="s">
        <v>226</v>
      </c>
      <c r="G183" s="56" t="s">
        <v>222</v>
      </c>
      <c r="H183" s="56" t="s">
        <v>148</v>
      </c>
      <c r="I183" s="56" t="s">
        <v>82</v>
      </c>
      <c r="J183" s="56" t="n">
        <v>2.8</v>
      </c>
      <c r="K183" s="56" t="n">
        <v>30</v>
      </c>
      <c r="L183" s="56" t="n">
        <v>58.5</v>
      </c>
      <c r="M183" s="56" t="n">
        <v>1.7</v>
      </c>
      <c r="N183" s="56" t="n">
        <v>4.2</v>
      </c>
      <c r="O183" s="56" t="s">
        <v>223</v>
      </c>
      <c r="P183" s="56" t="n">
        <v>19</v>
      </c>
      <c r="Q183" s="56" t="n">
        <v>20.8</v>
      </c>
      <c r="R183" s="56" t="n">
        <v>79.9</v>
      </c>
      <c r="S183" s="56" t="str">
        <f aca="false">IF(L183&gt;=90,"Top Performer",IF(L183&gt;=75,"High Performer",IF(L183&gt;=60,"Average","Needs Improvement")))</f>
        <v>Needs Improvement</v>
      </c>
      <c r="T183" s="56" t="str">
        <f aca="false">IF(J183&gt;=4,"Active","Low Usage")</f>
        <v>Low Usage</v>
      </c>
    </row>
    <row r="184" customFormat="false" ht="15" hidden="false" customHeight="true" outlineLevel="0" collapsed="false">
      <c r="A184" s="25" t="n">
        <v>1183</v>
      </c>
      <c r="B184" s="25" t="s">
        <v>106</v>
      </c>
      <c r="C184" s="25" t="s">
        <v>330</v>
      </c>
      <c r="D184" s="25" t="s">
        <v>95</v>
      </c>
      <c r="E184" s="25" t="s">
        <v>233</v>
      </c>
      <c r="F184" s="25" t="s">
        <v>217</v>
      </c>
      <c r="G184" s="25" t="s">
        <v>222</v>
      </c>
      <c r="H184" s="25" t="s">
        <v>148</v>
      </c>
      <c r="I184" s="25" t="s">
        <v>81</v>
      </c>
      <c r="J184" s="25" t="n">
        <v>4.3</v>
      </c>
      <c r="K184" s="25" t="n">
        <v>20</v>
      </c>
      <c r="L184" s="55" t="n">
        <v>57.5</v>
      </c>
      <c r="M184" s="25" t="n">
        <v>1.9</v>
      </c>
      <c r="N184" s="55" t="n">
        <v>3.9</v>
      </c>
      <c r="O184" s="25" t="s">
        <v>223</v>
      </c>
      <c r="P184" s="25" t="n">
        <v>18</v>
      </c>
      <c r="Q184" s="25" t="n">
        <v>20.8</v>
      </c>
      <c r="R184" s="25" t="n">
        <v>88.9</v>
      </c>
      <c r="S184" s="25" t="str">
        <f aca="false">IF(L184&gt;=90,"Top Performer",IF(L184&gt;=75,"High Performer",IF(L184&gt;=60,"Average","Needs Improvement")))</f>
        <v>Needs Improvement</v>
      </c>
      <c r="T184" s="25" t="str">
        <f aca="false">IF(J184&gt;=4,"Active","Low Usage")</f>
        <v>Active</v>
      </c>
    </row>
    <row r="185" customFormat="false" ht="15" hidden="false" customHeight="true" outlineLevel="0" collapsed="false">
      <c r="A185" s="56" t="n">
        <v>1184</v>
      </c>
      <c r="B185" s="56" t="s">
        <v>96</v>
      </c>
      <c r="C185" s="56" t="s">
        <v>341</v>
      </c>
      <c r="D185" s="56" t="s">
        <v>93</v>
      </c>
      <c r="E185" s="56" t="s">
        <v>249</v>
      </c>
      <c r="F185" s="56" t="s">
        <v>234</v>
      </c>
      <c r="G185" s="56" t="s">
        <v>231</v>
      </c>
      <c r="H185" s="56" t="s">
        <v>148</v>
      </c>
      <c r="I185" s="56" t="s">
        <v>81</v>
      </c>
      <c r="J185" s="56" t="n">
        <v>3.4</v>
      </c>
      <c r="K185" s="56" t="n">
        <v>21</v>
      </c>
      <c r="L185" s="56" t="n">
        <v>62.2</v>
      </c>
      <c r="M185" s="56" t="n">
        <v>1.5</v>
      </c>
      <c r="N185" s="56" t="n">
        <v>4.6</v>
      </c>
      <c r="O185" s="56" t="s">
        <v>223</v>
      </c>
      <c r="P185" s="56" t="n">
        <v>19</v>
      </c>
      <c r="Q185" s="56" t="n">
        <v>37</v>
      </c>
      <c r="R185" s="56" t="n">
        <v>61.1</v>
      </c>
      <c r="S185" s="56" t="str">
        <f aca="false">IF(L185&gt;=90,"Top Performer",IF(L185&gt;=75,"High Performer",IF(L185&gt;=60,"Average","Needs Improvement")))</f>
        <v>Average</v>
      </c>
      <c r="T185" s="56" t="str">
        <f aca="false">IF(J185&gt;=4,"Active","Low Usage")</f>
        <v>Low Usage</v>
      </c>
    </row>
    <row r="186" customFormat="false" ht="15" hidden="false" customHeight="true" outlineLevel="0" collapsed="false">
      <c r="A186" s="25" t="n">
        <v>1185</v>
      </c>
      <c r="B186" s="25" t="s">
        <v>108</v>
      </c>
      <c r="C186" s="25" t="s">
        <v>322</v>
      </c>
      <c r="D186" s="25" t="s">
        <v>97</v>
      </c>
      <c r="E186" s="25" t="s">
        <v>233</v>
      </c>
      <c r="F186" s="25" t="s">
        <v>226</v>
      </c>
      <c r="G186" s="25" t="s">
        <v>253</v>
      </c>
      <c r="H186" s="25" t="s">
        <v>148</v>
      </c>
      <c r="I186" s="25" t="s">
        <v>83</v>
      </c>
      <c r="J186" s="25" t="n">
        <v>3.2</v>
      </c>
      <c r="K186" s="25" t="n">
        <v>37</v>
      </c>
      <c r="L186" s="55" t="n">
        <v>70.5</v>
      </c>
      <c r="M186" s="25" t="n">
        <v>1.9</v>
      </c>
      <c r="N186" s="55" t="n">
        <v>4.1</v>
      </c>
      <c r="O186" s="25" t="s">
        <v>223</v>
      </c>
      <c r="P186" s="25" t="n">
        <v>20</v>
      </c>
      <c r="Q186" s="25" t="n">
        <v>18.9</v>
      </c>
      <c r="R186" s="25" t="n">
        <v>64</v>
      </c>
      <c r="S186" s="25" t="str">
        <f aca="false">IF(L186&gt;=90,"Top Performer",IF(L186&gt;=75,"High Performer",IF(L186&gt;=60,"Average","Needs Improvement")))</f>
        <v>Average</v>
      </c>
      <c r="T186" s="25" t="str">
        <f aca="false">IF(J186&gt;=4,"Active","Low Usage")</f>
        <v>Low Usage</v>
      </c>
    </row>
    <row r="187" customFormat="false" ht="15" hidden="false" customHeight="true" outlineLevel="0" collapsed="false">
      <c r="A187" s="56" t="n">
        <v>1186</v>
      </c>
      <c r="B187" s="56" t="s">
        <v>92</v>
      </c>
      <c r="C187" s="56" t="s">
        <v>342</v>
      </c>
      <c r="D187" s="56" t="s">
        <v>93</v>
      </c>
      <c r="E187" s="56" t="s">
        <v>230</v>
      </c>
      <c r="F187" s="56" t="s">
        <v>221</v>
      </c>
      <c r="G187" s="56" t="s">
        <v>231</v>
      </c>
      <c r="H187" s="56" t="s">
        <v>148</v>
      </c>
      <c r="I187" s="56" t="s">
        <v>84</v>
      </c>
      <c r="J187" s="56" t="n">
        <v>0.8</v>
      </c>
      <c r="K187" s="56" t="n">
        <v>28</v>
      </c>
      <c r="L187" s="56" t="n">
        <v>71.5</v>
      </c>
      <c r="M187" s="56" t="n">
        <v>0.4</v>
      </c>
      <c r="N187" s="56" t="n">
        <v>4.9</v>
      </c>
      <c r="O187" s="56" t="s">
        <v>219</v>
      </c>
      <c r="P187" s="56" t="n">
        <v>0</v>
      </c>
      <c r="Q187" s="56" t="n">
        <v>29.4</v>
      </c>
      <c r="R187" s="56" t="n">
        <v>95.6</v>
      </c>
      <c r="S187" s="56" t="str">
        <f aca="false">IF(L187&gt;=90,"Top Performer",IF(L187&gt;=75,"High Performer",IF(L187&gt;=60,"Average","Needs Improvement")))</f>
        <v>Average</v>
      </c>
      <c r="T187" s="56" t="str">
        <f aca="false">IF(J187&gt;=4,"Active","Low Usage")</f>
        <v>Low Usage</v>
      </c>
    </row>
    <row r="188" customFormat="false" ht="15" hidden="false" customHeight="true" outlineLevel="0" collapsed="false">
      <c r="A188" s="25" t="n">
        <v>1187</v>
      </c>
      <c r="B188" s="25" t="s">
        <v>111</v>
      </c>
      <c r="C188" s="25" t="s">
        <v>327</v>
      </c>
      <c r="D188" s="25" t="s">
        <v>95</v>
      </c>
      <c r="E188" s="25" t="s">
        <v>236</v>
      </c>
      <c r="F188" s="25" t="s">
        <v>234</v>
      </c>
      <c r="G188" s="25" t="s">
        <v>222</v>
      </c>
      <c r="H188" s="25" t="s">
        <v>148</v>
      </c>
      <c r="I188" s="25" t="s">
        <v>83</v>
      </c>
      <c r="J188" s="25" t="n">
        <v>5</v>
      </c>
      <c r="K188" s="25" t="n">
        <v>28</v>
      </c>
      <c r="L188" s="55" t="n">
        <v>60.1</v>
      </c>
      <c r="M188" s="25" t="n">
        <v>3.3</v>
      </c>
      <c r="N188" s="55" t="n">
        <v>3.1</v>
      </c>
      <c r="O188" s="25" t="s">
        <v>219</v>
      </c>
      <c r="P188" s="25" t="n">
        <v>0</v>
      </c>
      <c r="Q188" s="25" t="n">
        <v>38.2</v>
      </c>
      <c r="R188" s="25" t="n">
        <v>98.3</v>
      </c>
      <c r="S188" s="25" t="str">
        <f aca="false">IF(L188&gt;=90,"Top Performer",IF(L188&gt;=75,"High Performer",IF(L188&gt;=60,"Average","Needs Improvement")))</f>
        <v>Average</v>
      </c>
      <c r="T188" s="25" t="str">
        <f aca="false">IF(J188&gt;=4,"Active","Low Usage")</f>
        <v>Active</v>
      </c>
    </row>
    <row r="189" customFormat="false" ht="15" hidden="false" customHeight="true" outlineLevel="0" collapsed="false">
      <c r="A189" s="56" t="n">
        <v>1188</v>
      </c>
      <c r="B189" s="56" t="s">
        <v>102</v>
      </c>
      <c r="C189" s="56" t="s">
        <v>296</v>
      </c>
      <c r="D189" s="56" t="s">
        <v>93</v>
      </c>
      <c r="E189" s="56" t="s">
        <v>225</v>
      </c>
      <c r="F189" s="56" t="s">
        <v>217</v>
      </c>
      <c r="G189" s="56" t="s">
        <v>253</v>
      </c>
      <c r="H189" s="56" t="s">
        <v>148</v>
      </c>
      <c r="I189" s="56" t="s">
        <v>83</v>
      </c>
      <c r="J189" s="56" t="n">
        <v>0.5</v>
      </c>
      <c r="K189" s="56" t="n">
        <v>17</v>
      </c>
      <c r="L189" s="56" t="n">
        <v>67.5</v>
      </c>
      <c r="M189" s="56" t="n">
        <v>0.4</v>
      </c>
      <c r="N189" s="56" t="n">
        <v>4.5</v>
      </c>
      <c r="O189" s="56" t="s">
        <v>219</v>
      </c>
      <c r="P189" s="56" t="n">
        <v>0</v>
      </c>
      <c r="Q189" s="56" t="n">
        <v>26.2</v>
      </c>
      <c r="R189" s="56" t="n">
        <v>83.1</v>
      </c>
      <c r="S189" s="56" t="str">
        <f aca="false">IF(L189&gt;=90,"Top Performer",IF(L189&gt;=75,"High Performer",IF(L189&gt;=60,"Average","Needs Improvement")))</f>
        <v>Average</v>
      </c>
      <c r="T189" s="56" t="str">
        <f aca="false">IF(J189&gt;=4,"Active","Low Usage")</f>
        <v>Low Usage</v>
      </c>
    </row>
    <row r="190" customFormat="false" ht="15" hidden="false" customHeight="true" outlineLevel="0" collapsed="false">
      <c r="A190" s="25" t="n">
        <v>1189</v>
      </c>
      <c r="B190" s="25" t="s">
        <v>96</v>
      </c>
      <c r="C190" s="25" t="s">
        <v>284</v>
      </c>
      <c r="D190" s="25" t="s">
        <v>95</v>
      </c>
      <c r="E190" s="25" t="s">
        <v>216</v>
      </c>
      <c r="F190" s="25" t="s">
        <v>221</v>
      </c>
      <c r="G190" s="25" t="s">
        <v>218</v>
      </c>
      <c r="H190" s="25" t="s">
        <v>148</v>
      </c>
      <c r="I190" s="25" t="s">
        <v>83</v>
      </c>
      <c r="J190" s="25" t="n">
        <v>0.6</v>
      </c>
      <c r="K190" s="25" t="n">
        <v>39</v>
      </c>
      <c r="L190" s="55" t="n">
        <v>69.9</v>
      </c>
      <c r="M190" s="25" t="n">
        <v>0.4</v>
      </c>
      <c r="N190" s="55" t="n">
        <v>4.8</v>
      </c>
      <c r="O190" s="25" t="s">
        <v>223</v>
      </c>
      <c r="P190" s="25" t="n">
        <v>18</v>
      </c>
      <c r="Q190" s="25" t="n">
        <v>36.6</v>
      </c>
      <c r="R190" s="25" t="n">
        <v>74.7</v>
      </c>
      <c r="S190" s="25" t="str">
        <f aca="false">IF(L190&gt;=90,"Top Performer",IF(L190&gt;=75,"High Performer",IF(L190&gt;=60,"Average","Needs Improvement")))</f>
        <v>Average</v>
      </c>
      <c r="T190" s="25" t="str">
        <f aca="false">IF(J190&gt;=4,"Active","Low Usage")</f>
        <v>Low Usage</v>
      </c>
    </row>
    <row r="191" customFormat="false" ht="15" hidden="false" customHeight="true" outlineLevel="0" collapsed="false">
      <c r="A191" s="56" t="n">
        <v>1190</v>
      </c>
      <c r="B191" s="56" t="s">
        <v>103</v>
      </c>
      <c r="C191" s="56" t="s">
        <v>343</v>
      </c>
      <c r="D191" s="56" t="s">
        <v>93</v>
      </c>
      <c r="E191" s="56" t="s">
        <v>230</v>
      </c>
      <c r="F191" s="56" t="s">
        <v>221</v>
      </c>
      <c r="G191" s="56" t="s">
        <v>218</v>
      </c>
      <c r="H191" s="56" t="s">
        <v>148</v>
      </c>
      <c r="I191" s="56" t="s">
        <v>82</v>
      </c>
      <c r="J191" s="56" t="n">
        <v>5.8</v>
      </c>
      <c r="K191" s="56" t="n">
        <v>14</v>
      </c>
      <c r="L191" s="56" t="n">
        <v>85.6</v>
      </c>
      <c r="M191" s="56" t="n">
        <v>2.5</v>
      </c>
      <c r="N191" s="56" t="n">
        <v>4.8</v>
      </c>
      <c r="O191" s="56" t="s">
        <v>228</v>
      </c>
      <c r="P191" s="56" t="n">
        <v>54</v>
      </c>
      <c r="Q191" s="56" t="n">
        <v>34.5</v>
      </c>
      <c r="R191" s="56" t="n">
        <v>74.5</v>
      </c>
      <c r="S191" s="56" t="str">
        <f aca="false">IF(L191&gt;=90,"Top Performer",IF(L191&gt;=75,"High Performer",IF(L191&gt;=60,"Average","Needs Improvement")))</f>
        <v>High Performer</v>
      </c>
      <c r="T191" s="56" t="str">
        <f aca="false">IF(J191&gt;=4,"Active","Low Usage")</f>
        <v>Active</v>
      </c>
    </row>
    <row r="192" customFormat="false" ht="15" hidden="false" customHeight="true" outlineLevel="0" collapsed="false">
      <c r="A192" s="25" t="n">
        <v>1191</v>
      </c>
      <c r="B192" s="25" t="s">
        <v>107</v>
      </c>
      <c r="C192" s="25" t="s">
        <v>307</v>
      </c>
      <c r="D192" s="25" t="s">
        <v>101</v>
      </c>
      <c r="E192" s="25" t="s">
        <v>249</v>
      </c>
      <c r="F192" s="25" t="s">
        <v>221</v>
      </c>
      <c r="G192" s="25" t="s">
        <v>241</v>
      </c>
      <c r="H192" s="25" t="s">
        <v>148</v>
      </c>
      <c r="I192" s="25" t="s">
        <v>80</v>
      </c>
      <c r="J192" s="25" t="n">
        <v>3.8</v>
      </c>
      <c r="K192" s="25" t="n">
        <v>8</v>
      </c>
      <c r="L192" s="55" t="n">
        <v>73.7</v>
      </c>
      <c r="M192" s="25" t="n">
        <v>3</v>
      </c>
      <c r="N192" s="55" t="n">
        <v>3.5</v>
      </c>
      <c r="O192" s="25" t="s">
        <v>223</v>
      </c>
      <c r="P192" s="25" t="n">
        <v>23</v>
      </c>
      <c r="Q192" s="25" t="n">
        <v>42.4</v>
      </c>
      <c r="R192" s="25" t="n">
        <v>75.3</v>
      </c>
      <c r="S192" s="25" t="str">
        <f aca="false">IF(L192&gt;=90,"Top Performer",IF(L192&gt;=75,"High Performer",IF(L192&gt;=60,"Average","Needs Improvement")))</f>
        <v>Average</v>
      </c>
      <c r="T192" s="25" t="str">
        <f aca="false">IF(J192&gt;=4,"Active","Low Usage")</f>
        <v>Low Usage</v>
      </c>
    </row>
    <row r="193" customFormat="false" ht="15" hidden="false" customHeight="true" outlineLevel="0" collapsed="false">
      <c r="A193" s="56" t="n">
        <v>1192</v>
      </c>
      <c r="B193" s="56" t="s">
        <v>94</v>
      </c>
      <c r="C193" s="56" t="s">
        <v>285</v>
      </c>
      <c r="D193" s="56" t="s">
        <v>97</v>
      </c>
      <c r="E193" s="56" t="s">
        <v>225</v>
      </c>
      <c r="F193" s="56" t="s">
        <v>217</v>
      </c>
      <c r="G193" s="56" t="s">
        <v>218</v>
      </c>
      <c r="H193" s="56" t="s">
        <v>148</v>
      </c>
      <c r="I193" s="56" t="s">
        <v>82</v>
      </c>
      <c r="J193" s="56" t="n">
        <v>4.8</v>
      </c>
      <c r="K193" s="56" t="n">
        <v>11</v>
      </c>
      <c r="L193" s="56" t="n">
        <v>61.7</v>
      </c>
      <c r="M193" s="56" t="n">
        <v>2.2</v>
      </c>
      <c r="N193" s="56" t="n">
        <v>3.9</v>
      </c>
      <c r="O193" s="56" t="s">
        <v>223</v>
      </c>
      <c r="P193" s="56" t="n">
        <v>19</v>
      </c>
      <c r="Q193" s="56" t="n">
        <v>28.8</v>
      </c>
      <c r="R193" s="56" t="n">
        <v>97.6</v>
      </c>
      <c r="S193" s="56" t="str">
        <f aca="false">IF(L193&gt;=90,"Top Performer",IF(L193&gt;=75,"High Performer",IF(L193&gt;=60,"Average","Needs Improvement")))</f>
        <v>Average</v>
      </c>
      <c r="T193" s="56" t="str">
        <f aca="false">IF(J193&gt;=4,"Active","Low Usage")</f>
        <v>Active</v>
      </c>
    </row>
    <row r="194" customFormat="false" ht="15" hidden="false" customHeight="true" outlineLevel="0" collapsed="false">
      <c r="A194" s="25" t="n">
        <v>1193</v>
      </c>
      <c r="B194" s="25" t="s">
        <v>110</v>
      </c>
      <c r="C194" s="25" t="s">
        <v>344</v>
      </c>
      <c r="D194" s="25" t="s">
        <v>99</v>
      </c>
      <c r="E194" s="25" t="s">
        <v>236</v>
      </c>
      <c r="F194" s="25" t="s">
        <v>236</v>
      </c>
      <c r="G194" s="25" t="s">
        <v>253</v>
      </c>
      <c r="H194" s="25" t="s">
        <v>148</v>
      </c>
      <c r="I194" s="25" t="s">
        <v>81</v>
      </c>
      <c r="J194" s="25" t="n">
        <v>1.4</v>
      </c>
      <c r="K194" s="25" t="n">
        <v>24</v>
      </c>
      <c r="L194" s="55" t="n">
        <v>90.5</v>
      </c>
      <c r="M194" s="25" t="n">
        <v>1</v>
      </c>
      <c r="N194" s="55" t="n">
        <v>3.1</v>
      </c>
      <c r="O194" s="25" t="s">
        <v>223</v>
      </c>
      <c r="P194" s="25" t="n">
        <v>20</v>
      </c>
      <c r="Q194" s="25" t="n">
        <v>13.2</v>
      </c>
      <c r="R194" s="25" t="n">
        <v>69.7</v>
      </c>
      <c r="S194" s="25" t="str">
        <f aca="false">IF(L194&gt;=90,"Top Performer",IF(L194&gt;=75,"High Performer",IF(L194&gt;=60,"Average","Needs Improvement")))</f>
        <v>Top Performer</v>
      </c>
      <c r="T194" s="25" t="str">
        <f aca="false">IF(J194&gt;=4,"Active","Low Usage")</f>
        <v>Low Usage</v>
      </c>
    </row>
    <row r="195" customFormat="false" ht="15" hidden="false" customHeight="true" outlineLevel="0" collapsed="false">
      <c r="A195" s="56" t="n">
        <v>1194</v>
      </c>
      <c r="B195" s="56" t="s">
        <v>100</v>
      </c>
      <c r="C195" s="56" t="s">
        <v>345</v>
      </c>
      <c r="D195" s="56" t="s">
        <v>99</v>
      </c>
      <c r="E195" s="56" t="s">
        <v>233</v>
      </c>
      <c r="F195" s="56" t="s">
        <v>226</v>
      </c>
      <c r="G195" s="56" t="s">
        <v>253</v>
      </c>
      <c r="H195" s="56" t="s">
        <v>148</v>
      </c>
      <c r="I195" s="56" t="s">
        <v>82</v>
      </c>
      <c r="J195" s="56" t="n">
        <v>5.7</v>
      </c>
      <c r="K195" s="56" t="n">
        <v>33</v>
      </c>
      <c r="L195" s="56" t="n">
        <v>78.9</v>
      </c>
      <c r="M195" s="56" t="n">
        <v>3.5</v>
      </c>
      <c r="N195" s="56" t="n">
        <v>3.2</v>
      </c>
      <c r="O195" s="56" t="s">
        <v>219</v>
      </c>
      <c r="P195" s="56" t="n">
        <v>0</v>
      </c>
      <c r="Q195" s="56" t="n">
        <v>38.1</v>
      </c>
      <c r="R195" s="56" t="n">
        <v>65.5</v>
      </c>
      <c r="S195" s="56" t="str">
        <f aca="false">IF(L195&gt;=90,"Top Performer",IF(L195&gt;=75,"High Performer",IF(L195&gt;=60,"Average","Needs Improvement")))</f>
        <v>High Performer</v>
      </c>
      <c r="T195" s="56" t="str">
        <f aca="false">IF(J195&gt;=4,"Active","Low Usage")</f>
        <v>Active</v>
      </c>
    </row>
    <row r="196" customFormat="false" ht="15" hidden="false" customHeight="true" outlineLevel="0" collapsed="false">
      <c r="A196" s="25" t="n">
        <v>1195</v>
      </c>
      <c r="B196" s="25" t="s">
        <v>98</v>
      </c>
      <c r="C196" s="25" t="s">
        <v>325</v>
      </c>
      <c r="D196" s="25" t="s">
        <v>93</v>
      </c>
      <c r="E196" s="25" t="s">
        <v>243</v>
      </c>
      <c r="F196" s="25" t="s">
        <v>234</v>
      </c>
      <c r="G196" s="25" t="s">
        <v>241</v>
      </c>
      <c r="H196" s="25" t="s">
        <v>148</v>
      </c>
      <c r="I196" s="25" t="s">
        <v>80</v>
      </c>
      <c r="J196" s="25" t="n">
        <v>4.3</v>
      </c>
      <c r="K196" s="25" t="n">
        <v>10</v>
      </c>
      <c r="L196" s="55" t="n">
        <v>80</v>
      </c>
      <c r="M196" s="25" t="n">
        <v>2.2</v>
      </c>
      <c r="N196" s="55" t="n">
        <v>4.6</v>
      </c>
      <c r="O196" s="25" t="s">
        <v>219</v>
      </c>
      <c r="P196" s="25" t="n">
        <v>0</v>
      </c>
      <c r="Q196" s="25" t="n">
        <v>44.9</v>
      </c>
      <c r="R196" s="25" t="n">
        <v>67.7</v>
      </c>
      <c r="S196" s="25" t="str">
        <f aca="false">IF(L196&gt;=90,"Top Performer",IF(L196&gt;=75,"High Performer",IF(L196&gt;=60,"Average","Needs Improvement")))</f>
        <v>High Performer</v>
      </c>
      <c r="T196" s="25" t="str">
        <f aca="false">IF(J196&gt;=4,"Active","Low Usage")</f>
        <v>Active</v>
      </c>
    </row>
    <row r="197" customFormat="false" ht="15" hidden="false" customHeight="true" outlineLevel="0" collapsed="false">
      <c r="A197" s="56" t="n">
        <v>1196</v>
      </c>
      <c r="B197" s="56" t="s">
        <v>92</v>
      </c>
      <c r="C197" s="56" t="s">
        <v>339</v>
      </c>
      <c r="D197" s="56" t="s">
        <v>95</v>
      </c>
      <c r="E197" s="56" t="s">
        <v>249</v>
      </c>
      <c r="F197" s="56" t="s">
        <v>217</v>
      </c>
      <c r="G197" s="56" t="s">
        <v>248</v>
      </c>
      <c r="H197" s="56" t="s">
        <v>148</v>
      </c>
      <c r="I197" s="56" t="s">
        <v>83</v>
      </c>
      <c r="J197" s="56" t="n">
        <v>1.4</v>
      </c>
      <c r="K197" s="56" t="n">
        <v>32</v>
      </c>
      <c r="L197" s="56" t="n">
        <v>90.3</v>
      </c>
      <c r="M197" s="56" t="n">
        <v>0.8</v>
      </c>
      <c r="N197" s="56" t="n">
        <v>3.1</v>
      </c>
      <c r="O197" s="56" t="s">
        <v>228</v>
      </c>
      <c r="P197" s="56" t="n">
        <v>54</v>
      </c>
      <c r="Q197" s="56" t="n">
        <v>16</v>
      </c>
      <c r="R197" s="56" t="n">
        <v>68.4</v>
      </c>
      <c r="S197" s="56" t="str">
        <f aca="false">IF(L197&gt;=90,"Top Performer",IF(L197&gt;=75,"High Performer",IF(L197&gt;=60,"Average","Needs Improvement")))</f>
        <v>Top Performer</v>
      </c>
      <c r="T197" s="56" t="str">
        <f aca="false">IF(J197&gt;=4,"Active","Low Usage")</f>
        <v>Low Usage</v>
      </c>
    </row>
    <row r="198" customFormat="false" ht="15" hidden="false" customHeight="true" outlineLevel="0" collapsed="false">
      <c r="A198" s="25" t="n">
        <v>1197</v>
      </c>
      <c r="B198" s="25" t="s">
        <v>92</v>
      </c>
      <c r="C198" s="25" t="s">
        <v>292</v>
      </c>
      <c r="D198" s="25" t="s">
        <v>97</v>
      </c>
      <c r="E198" s="25" t="s">
        <v>236</v>
      </c>
      <c r="F198" s="25" t="s">
        <v>236</v>
      </c>
      <c r="G198" s="25" t="s">
        <v>241</v>
      </c>
      <c r="H198" s="25" t="s">
        <v>148</v>
      </c>
      <c r="I198" s="25" t="s">
        <v>81</v>
      </c>
      <c r="J198" s="25" t="n">
        <v>4.1</v>
      </c>
      <c r="K198" s="25" t="n">
        <v>36</v>
      </c>
      <c r="L198" s="55" t="n">
        <v>72.7</v>
      </c>
      <c r="M198" s="25" t="n">
        <v>2.5</v>
      </c>
      <c r="N198" s="55" t="n">
        <v>3.1</v>
      </c>
      <c r="O198" s="25" t="s">
        <v>223</v>
      </c>
      <c r="P198" s="25" t="n">
        <v>24</v>
      </c>
      <c r="Q198" s="25" t="n">
        <v>14.8</v>
      </c>
      <c r="R198" s="25" t="n">
        <v>67.8</v>
      </c>
      <c r="S198" s="25" t="str">
        <f aca="false">IF(L198&gt;=90,"Top Performer",IF(L198&gt;=75,"High Performer",IF(L198&gt;=60,"Average","Needs Improvement")))</f>
        <v>Average</v>
      </c>
      <c r="T198" s="25" t="str">
        <f aca="false">IF(J198&gt;=4,"Active","Low Usage")</f>
        <v>Active</v>
      </c>
    </row>
    <row r="199" customFormat="false" ht="15" hidden="false" customHeight="true" outlineLevel="0" collapsed="false">
      <c r="A199" s="56" t="n">
        <v>1198</v>
      </c>
      <c r="B199" s="56" t="s">
        <v>103</v>
      </c>
      <c r="C199" s="56" t="s">
        <v>346</v>
      </c>
      <c r="D199" s="56" t="s">
        <v>95</v>
      </c>
      <c r="E199" s="56" t="s">
        <v>216</v>
      </c>
      <c r="F199" s="56" t="s">
        <v>221</v>
      </c>
      <c r="G199" s="56" t="s">
        <v>231</v>
      </c>
      <c r="H199" s="56" t="s">
        <v>148</v>
      </c>
      <c r="I199" s="56" t="s">
        <v>84</v>
      </c>
      <c r="J199" s="56" t="n">
        <v>3.5</v>
      </c>
      <c r="K199" s="56" t="n">
        <v>36</v>
      </c>
      <c r="L199" s="56" t="n">
        <v>69.8</v>
      </c>
      <c r="M199" s="56" t="n">
        <v>2.2</v>
      </c>
      <c r="N199" s="56" t="n">
        <v>3.6</v>
      </c>
      <c r="O199" s="56" t="s">
        <v>223</v>
      </c>
      <c r="P199" s="56" t="n">
        <v>20</v>
      </c>
      <c r="Q199" s="56" t="n">
        <v>10.9</v>
      </c>
      <c r="R199" s="56" t="n">
        <v>83.3</v>
      </c>
      <c r="S199" s="56" t="str">
        <f aca="false">IF(L199&gt;=90,"Top Performer",IF(L199&gt;=75,"High Performer",IF(L199&gt;=60,"Average","Needs Improvement")))</f>
        <v>Average</v>
      </c>
      <c r="T199" s="56" t="str">
        <f aca="false">IF(J199&gt;=4,"Active","Low Usage")</f>
        <v>Low Usage</v>
      </c>
    </row>
    <row r="200" customFormat="false" ht="15" hidden="false" customHeight="true" outlineLevel="0" collapsed="false">
      <c r="A200" s="25" t="n">
        <v>1199</v>
      </c>
      <c r="B200" s="25" t="s">
        <v>109</v>
      </c>
      <c r="C200" s="25" t="s">
        <v>340</v>
      </c>
      <c r="D200" s="25" t="s">
        <v>97</v>
      </c>
      <c r="E200" s="25" t="s">
        <v>249</v>
      </c>
      <c r="F200" s="25" t="s">
        <v>236</v>
      </c>
      <c r="G200" s="25" t="s">
        <v>227</v>
      </c>
      <c r="H200" s="25" t="s">
        <v>148</v>
      </c>
      <c r="I200" s="25" t="s">
        <v>80</v>
      </c>
      <c r="J200" s="25" t="n">
        <v>5.9</v>
      </c>
      <c r="K200" s="25" t="n">
        <v>11</v>
      </c>
      <c r="L200" s="55" t="n">
        <v>65.7</v>
      </c>
      <c r="M200" s="25" t="n">
        <v>2.9</v>
      </c>
      <c r="N200" s="55" t="n">
        <v>4.1</v>
      </c>
      <c r="O200" s="25" t="s">
        <v>228</v>
      </c>
      <c r="P200" s="25" t="n">
        <v>48</v>
      </c>
      <c r="Q200" s="25" t="n">
        <v>36.7</v>
      </c>
      <c r="R200" s="25" t="n">
        <v>97</v>
      </c>
      <c r="S200" s="25" t="str">
        <f aca="false">IF(L200&gt;=90,"Top Performer",IF(L200&gt;=75,"High Performer",IF(L200&gt;=60,"Average","Needs Improvement")))</f>
        <v>Average</v>
      </c>
      <c r="T200" s="25" t="str">
        <f aca="false">IF(J200&gt;=4,"Active","Low Usage")</f>
        <v>Active</v>
      </c>
    </row>
    <row r="201" customFormat="false" ht="15" hidden="false" customHeight="true" outlineLevel="0" collapsed="false">
      <c r="A201" s="56" t="n">
        <v>1200</v>
      </c>
      <c r="B201" s="56" t="s">
        <v>98</v>
      </c>
      <c r="C201" s="56" t="s">
        <v>235</v>
      </c>
      <c r="D201" s="56" t="s">
        <v>99</v>
      </c>
      <c r="E201" s="56" t="s">
        <v>236</v>
      </c>
      <c r="F201" s="56" t="s">
        <v>234</v>
      </c>
      <c r="G201" s="56" t="s">
        <v>241</v>
      </c>
      <c r="H201" s="56" t="s">
        <v>148</v>
      </c>
      <c r="I201" s="56" t="s">
        <v>84</v>
      </c>
      <c r="J201" s="56" t="n">
        <v>4.9</v>
      </c>
      <c r="K201" s="56" t="n">
        <v>27</v>
      </c>
      <c r="L201" s="56" t="n">
        <v>94.3</v>
      </c>
      <c r="M201" s="56" t="n">
        <v>2</v>
      </c>
      <c r="N201" s="56" t="n">
        <v>4.4</v>
      </c>
      <c r="O201" s="56" t="s">
        <v>228</v>
      </c>
      <c r="P201" s="56" t="n">
        <v>50</v>
      </c>
      <c r="Q201" s="56" t="n">
        <v>29.7</v>
      </c>
      <c r="R201" s="56" t="n">
        <v>67.3</v>
      </c>
      <c r="S201" s="56" t="str">
        <f aca="false">IF(L201&gt;=90,"Top Performer",IF(L201&gt;=75,"High Performer",IF(L201&gt;=60,"Average","Needs Improvement")))</f>
        <v>Top Performer</v>
      </c>
      <c r="T201" s="56" t="str">
        <f aca="false">IF(J201&gt;=4,"Active","Low Usage")</f>
        <v>Active</v>
      </c>
    </row>
  </sheetData>
  <conditionalFormatting sqref="L2:L201">
    <cfRule type="colorScale" priority="2">
      <colorScale>
        <cfvo type="min" val="0"/>
        <cfvo type="percentile" val="50"/>
        <cfvo type="max" val="0"/>
        <color rgb="FFFFCCCC"/>
        <color rgb="FFFFFF00"/>
        <color rgb="FF70AD47"/>
      </colorScale>
    </cfRule>
  </conditionalFormatting>
  <dataValidations count="1">
    <dataValidation allowBlank="false" error="Enter 1-5" errorStyle="stop" errorTitle="Invalid" operator="between" showDropDown="false" showErrorMessage="true" showInputMessage="false" sqref="N2:N201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1" min="2" style="1" width="10"/>
  </cols>
  <sheetData>
    <row r="1" customFormat="false" ht="7.5" hidden="false" customHeight="true" outlineLevel="0" collapsed="false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customFormat="false" ht="36" hidden="false" customHeight="true" outlineLevel="0" collapsed="false">
      <c r="A2" s="57"/>
      <c r="B2" s="58" t="s">
        <v>347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7"/>
    </row>
    <row r="3" customFormat="false" ht="21.75" hidden="false" customHeight="true" outlineLevel="0" collapsed="false">
      <c r="A3" s="57"/>
      <c r="B3" s="59" t="s">
        <v>348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7"/>
    </row>
    <row r="4" customFormat="false" ht="9.75" hidden="false" customHeight="true" outlineLevel="0" collapsed="false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customFormat="false" ht="21.75" hidden="false" customHeight="true" outlineLevel="0" collapsed="false">
      <c r="A5" s="60"/>
      <c r="B5" s="61" t="s">
        <v>349</v>
      </c>
      <c r="C5" s="61"/>
      <c r="D5" s="60"/>
      <c r="E5" s="62" t="s">
        <v>350</v>
      </c>
      <c r="F5" s="62"/>
      <c r="G5" s="60"/>
      <c r="H5" s="63" t="s">
        <v>351</v>
      </c>
      <c r="I5" s="63"/>
      <c r="J5" s="60"/>
      <c r="K5" s="64" t="s">
        <v>352</v>
      </c>
      <c r="L5" s="64"/>
      <c r="M5" s="60"/>
      <c r="N5" s="65" t="s">
        <v>353</v>
      </c>
      <c r="O5" s="65"/>
      <c r="P5" s="60"/>
      <c r="Q5" s="66" t="s">
        <v>354</v>
      </c>
      <c r="R5" s="66"/>
      <c r="S5" s="60"/>
      <c r="T5" s="60"/>
      <c r="U5" s="60"/>
    </row>
    <row r="6" customFormat="false" ht="27.75" hidden="false" customHeight="true" outlineLevel="0" collapsed="false">
      <c r="A6" s="60"/>
      <c r="B6" s="67" t="n">
        <f aca="false">COUNTA(Raw_Data!A2:A201)</f>
        <v>200</v>
      </c>
      <c r="C6" s="67"/>
      <c r="D6" s="60"/>
      <c r="E6" s="68" t="n">
        <f aca="false">ROUND(AVERAGE(Raw_Data!L2:L201),1)</f>
        <v>75.8</v>
      </c>
      <c r="F6" s="68"/>
      <c r="G6" s="60"/>
      <c r="H6" s="69" t="n">
        <f aca="false">ROUND(AVERAGE(Raw_Data!M2:M201),1)</f>
        <v>1.9</v>
      </c>
      <c r="I6" s="69"/>
      <c r="J6" s="60"/>
      <c r="K6" s="70" t="n">
        <f aca="false">ROUND(AVERAGE(Raw_Data!N2:N201),2)</f>
        <v>4.04</v>
      </c>
      <c r="L6" s="70"/>
      <c r="M6" s="60"/>
      <c r="N6" s="71" t="n">
        <f aca="false">COUNTIF(Raw_Data!S2:S201,"Top Performer")</f>
        <v>33</v>
      </c>
      <c r="O6" s="71"/>
      <c r="P6" s="60"/>
      <c r="Q6" s="72" t="str">
        <f aca="false">ROUND(AVERAGE(Raw_Data!Q2:Q201),1)&amp;"%"</f>
        <v>27.9%</v>
      </c>
      <c r="R6" s="72"/>
      <c r="S6" s="60"/>
      <c r="T6" s="60"/>
      <c r="U6" s="60"/>
    </row>
    <row r="7" customFormat="false" ht="21.75" hidden="false" customHeight="true" outlineLevel="0" collapsed="false">
      <c r="A7" s="60"/>
      <c r="B7" s="73" t="s">
        <v>355</v>
      </c>
      <c r="C7" s="73"/>
      <c r="D7" s="60"/>
      <c r="E7" s="74" t="s">
        <v>355</v>
      </c>
      <c r="F7" s="74"/>
      <c r="G7" s="60"/>
      <c r="H7" s="75" t="s">
        <v>355</v>
      </c>
      <c r="I7" s="75"/>
      <c r="J7" s="60"/>
      <c r="K7" s="76" t="s">
        <v>355</v>
      </c>
      <c r="L7" s="76"/>
      <c r="M7" s="60"/>
      <c r="N7" s="77" t="s">
        <v>355</v>
      </c>
      <c r="O7" s="77"/>
      <c r="P7" s="60"/>
      <c r="Q7" s="78" t="s">
        <v>355</v>
      </c>
      <c r="R7" s="78"/>
      <c r="S7" s="60"/>
      <c r="T7" s="60"/>
      <c r="U7" s="60"/>
    </row>
    <row r="8" customFormat="false" ht="9.75" hidden="false" customHeight="true" outlineLevel="0" collapsed="false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customFormat="false" ht="21.75" hidden="false" customHeight="true" outlineLevel="0" collapsed="false">
      <c r="A9" s="60"/>
      <c r="B9" s="10" t="s">
        <v>356</v>
      </c>
      <c r="C9" s="10"/>
      <c r="D9" s="10"/>
      <c r="E9" s="10"/>
      <c r="F9" s="10"/>
      <c r="G9" s="10"/>
      <c r="H9" s="60"/>
      <c r="I9" s="16" t="s">
        <v>357</v>
      </c>
      <c r="J9" s="16"/>
      <c r="K9" s="16"/>
      <c r="L9" s="16"/>
      <c r="M9" s="16"/>
      <c r="N9" s="16"/>
      <c r="O9" s="60"/>
      <c r="P9" s="11" t="s">
        <v>358</v>
      </c>
      <c r="Q9" s="11"/>
      <c r="R9" s="11"/>
      <c r="S9" s="11"/>
      <c r="T9" s="11"/>
      <c r="U9" s="60"/>
    </row>
    <row r="10" customFormat="false" ht="19.5" hidden="false" customHeight="true" outlineLevel="0" collapsed="false">
      <c r="A10" s="60"/>
      <c r="B10" s="79" t="s">
        <v>359</v>
      </c>
      <c r="C10" s="79" t="s">
        <v>360</v>
      </c>
      <c r="D10" s="79" t="s">
        <v>88</v>
      </c>
      <c r="E10" s="79" t="s">
        <v>361</v>
      </c>
      <c r="F10" s="79" t="s">
        <v>362</v>
      </c>
      <c r="G10" s="79" t="s">
        <v>363</v>
      </c>
      <c r="H10" s="60"/>
      <c r="I10" s="79" t="s">
        <v>90</v>
      </c>
      <c r="J10" s="79" t="s">
        <v>132</v>
      </c>
      <c r="K10" s="79" t="s">
        <v>361</v>
      </c>
      <c r="L10" s="79" t="s">
        <v>362</v>
      </c>
      <c r="M10" s="79" t="s">
        <v>364</v>
      </c>
      <c r="N10" s="79" t="s">
        <v>158</v>
      </c>
      <c r="O10" s="60"/>
      <c r="P10" s="79" t="s">
        <v>206</v>
      </c>
      <c r="Q10" s="79" t="s">
        <v>88</v>
      </c>
      <c r="R10" s="79" t="s">
        <v>361</v>
      </c>
      <c r="S10" s="79" t="s">
        <v>146</v>
      </c>
      <c r="T10" s="60"/>
      <c r="U10" s="60"/>
    </row>
    <row r="11" customFormat="false" ht="19.5" hidden="false" customHeight="true" outlineLevel="0" collapsed="false">
      <c r="A11" s="60"/>
      <c r="B11" s="40" t="n">
        <v>1</v>
      </c>
      <c r="C11" s="25" t="s">
        <v>80</v>
      </c>
      <c r="D11" s="25" t="n">
        <f aca="false">COUNTIF(Raw_Data!I$2:I$201,"ChatGPT")</f>
        <v>37</v>
      </c>
      <c r="E11" s="25" t="n">
        <f aca="false">ROUND(AVERAGEIF(Raw_Data!I$2:I$201,"ChatGPT",Raw_Data!L$2:L$201),1)</f>
        <v>74.2</v>
      </c>
      <c r="F11" s="25" t="n">
        <f aca="false">ROUND(AVERAGEIF(Raw_Data!I$2:I$201,"ChatGPT",Raw_Data!M$2:M$201),1)</f>
        <v>1.9</v>
      </c>
      <c r="G11" s="25" t="n">
        <f aca="false">ROUND(AVERAGEIF(Raw_Data!I$2:I$201,"ChatGPT",Raw_Data!N$2:N$201),2)</f>
        <v>4.01</v>
      </c>
      <c r="H11" s="60"/>
      <c r="I11" s="25" t="s">
        <v>93</v>
      </c>
      <c r="J11" s="25" t="n">
        <f aca="false">COUNTIF(Raw_Data!D$2:D$201,"Student")</f>
        <v>46</v>
      </c>
      <c r="K11" s="25" t="n">
        <f aca="false">ROUND(AVERAGEIF(Raw_Data!D$2:D$201,"Student",Raw_Data!L$2:L$201),1)</f>
        <v>75.4</v>
      </c>
      <c r="L11" s="25" t="n">
        <f aca="false">ROUND(AVERAGEIF(Raw_Data!D$2:D$201,"Student",Raw_Data!M$2:M$201),1)</f>
        <v>1.9</v>
      </c>
      <c r="M11" s="25" t="n">
        <f aca="false">ROUND(AVERAGEIF(Raw_Data!D$2:D$201,"Student",Raw_Data!N$2:N$201),2)</f>
        <v>4.1</v>
      </c>
      <c r="N11" s="25" t="str">
        <f aca="false">IF(AVERAGEIF(Raw_Data!D$2:D$201,"Student",Raw_Data!L$2:L$201)&gt;=80,"🟢 High","🟡 Mid")</f>
        <v>🟡 Mid</v>
      </c>
      <c r="O11" s="60"/>
      <c r="P11" s="25" t="s">
        <v>249</v>
      </c>
      <c r="Q11" s="25" t="n">
        <f aca="false">COUNTIF(Raw_Data!E$2:E$201,"Engineering")</f>
        <v>29</v>
      </c>
      <c r="R11" s="25" t="n">
        <f aca="false">ROUND(AVERAGEIF(Raw_Data!E$2:E$201,"Engineering",Raw_Data!L$2:L$201),1)</f>
        <v>73.5</v>
      </c>
      <c r="S11" s="25" t="str">
        <f aca="false">IFERROR(INDEX(Raw_Data!I$2:I$201,MATCH(MAX(IF(Raw_Data!E$2:E$201="Engineering",Raw_Data!L$2:L$201)),Raw_Data!L$2:L$201,0)),"N/A")</f>
        <v>N/A</v>
      </c>
      <c r="T11" s="60"/>
      <c r="U11" s="60"/>
    </row>
    <row r="12" customFormat="false" ht="19.5" hidden="false" customHeight="true" outlineLevel="0" collapsed="false">
      <c r="A12" s="60"/>
      <c r="B12" s="37" t="n">
        <v>2</v>
      </c>
      <c r="C12" s="24" t="s">
        <v>81</v>
      </c>
      <c r="D12" s="24" t="n">
        <f aca="false">COUNTIF(Raw_Data!I$2:I$201,"Gemini")</f>
        <v>39</v>
      </c>
      <c r="E12" s="24" t="n">
        <f aca="false">ROUND(AVERAGEIF(Raw_Data!I$2:I$201,"Gemini",Raw_Data!L$2:L$201),1)</f>
        <v>74.6</v>
      </c>
      <c r="F12" s="24" t="n">
        <f aca="false">ROUND(AVERAGEIF(Raw_Data!I$2:I$201,"Gemini",Raw_Data!M$2:M$201),1)</f>
        <v>1.9</v>
      </c>
      <c r="G12" s="24" t="n">
        <f aca="false">ROUND(AVERAGEIF(Raw_Data!I$2:I$201,"Gemini",Raw_Data!N$2:N$201),2)</f>
        <v>4.01</v>
      </c>
      <c r="H12" s="60"/>
      <c r="I12" s="24" t="s">
        <v>95</v>
      </c>
      <c r="J12" s="24" t="n">
        <f aca="false">COUNTIF(Raw_Data!D$2:D$201,"Employee")</f>
        <v>40</v>
      </c>
      <c r="K12" s="24" t="n">
        <f aca="false">ROUND(AVERAGEIF(Raw_Data!D$2:D$201,"Employee",Raw_Data!L$2:L$201),1)</f>
        <v>73.6</v>
      </c>
      <c r="L12" s="24" t="n">
        <f aca="false">ROUND(AVERAGEIF(Raw_Data!D$2:D$201,"Employee",Raw_Data!M$2:M$201),1)</f>
        <v>1.9</v>
      </c>
      <c r="M12" s="24" t="n">
        <f aca="false">ROUND(AVERAGEIF(Raw_Data!D$2:D$201,"Employee",Raw_Data!N$2:N$201),2)</f>
        <v>4.1</v>
      </c>
      <c r="N12" s="24" t="str">
        <f aca="false">IF(AVERAGEIF(Raw_Data!D$2:D$201,"Employee",Raw_Data!L$2:L$201)&gt;=80,"🟢 High","🟡 Mid")</f>
        <v>🟡 Mid</v>
      </c>
      <c r="O12" s="60"/>
      <c r="P12" s="24" t="s">
        <v>230</v>
      </c>
      <c r="Q12" s="24" t="n">
        <f aca="false">COUNTIF(Raw_Data!E$2:E$201,"Marketing")</f>
        <v>28</v>
      </c>
      <c r="R12" s="24" t="n">
        <f aca="false">ROUND(AVERAGEIF(Raw_Data!E$2:E$201,"Marketing",Raw_Data!L$2:L$201),1)</f>
        <v>73.1</v>
      </c>
      <c r="S12" s="24" t="str">
        <f aca="false">IFERROR(INDEX(Raw_Data!I$2:I$201,MATCH(MAX(IF(Raw_Data!E$2:E$201="Marketing",Raw_Data!L$2:L$201)),Raw_Data!L$2:L$201,0)),"N/A")</f>
        <v>N/A</v>
      </c>
      <c r="T12" s="60"/>
      <c r="U12" s="60"/>
    </row>
    <row r="13" customFormat="false" ht="19.5" hidden="false" customHeight="true" outlineLevel="0" collapsed="false">
      <c r="A13" s="60"/>
      <c r="B13" s="40" t="n">
        <v>3</v>
      </c>
      <c r="C13" s="25" t="s">
        <v>82</v>
      </c>
      <c r="D13" s="25" t="n">
        <f aca="false">COUNTIF(Raw_Data!I$2:I$201,"Copilot")</f>
        <v>40</v>
      </c>
      <c r="E13" s="25" t="n">
        <f aca="false">ROUND(AVERAGEIF(Raw_Data!I$2:I$201,"Copilot",Raw_Data!L$2:L$201),1)</f>
        <v>77.3</v>
      </c>
      <c r="F13" s="25" t="n">
        <f aca="false">ROUND(AVERAGEIF(Raw_Data!I$2:I$201,"Copilot",Raw_Data!M$2:M$201),1)</f>
        <v>1.9</v>
      </c>
      <c r="G13" s="25" t="n">
        <f aca="false">ROUND(AVERAGEIF(Raw_Data!I$2:I$201,"Copilot",Raw_Data!N$2:N$201),2)</f>
        <v>4.09</v>
      </c>
      <c r="H13" s="60"/>
      <c r="I13" s="25" t="s">
        <v>97</v>
      </c>
      <c r="J13" s="25" t="n">
        <f aca="false">COUNTIF(Raw_Data!D$2:D$201,"Freelancer")</f>
        <v>36</v>
      </c>
      <c r="K13" s="25" t="n">
        <f aca="false">ROUND(AVERAGEIF(Raw_Data!D$2:D$201,"Freelancer",Raw_Data!L$2:L$201),1)</f>
        <v>75.2</v>
      </c>
      <c r="L13" s="25" t="n">
        <f aca="false">ROUND(AVERAGEIF(Raw_Data!D$2:D$201,"Freelancer",Raw_Data!M$2:M$201),1)</f>
        <v>2</v>
      </c>
      <c r="M13" s="25" t="n">
        <f aca="false">ROUND(AVERAGEIF(Raw_Data!D$2:D$201,"Freelancer",Raw_Data!N$2:N$201),2)</f>
        <v>4.17</v>
      </c>
      <c r="N13" s="25" t="str">
        <f aca="false">IF(AVERAGEIF(Raw_Data!D$2:D$201,"Freelancer",Raw_Data!L$2:L$201)&gt;=80,"🟢 High","🟡 Mid")</f>
        <v>🟡 Mid</v>
      </c>
      <c r="O13" s="60"/>
      <c r="P13" s="25" t="s">
        <v>236</v>
      </c>
      <c r="Q13" s="25" t="n">
        <f aca="false">COUNTIF(Raw_Data!E$2:E$201,"Finance")</f>
        <v>30</v>
      </c>
      <c r="R13" s="25" t="n">
        <f aca="false">ROUND(AVERAGEIF(Raw_Data!E$2:E$201,"Finance",Raw_Data!L$2:L$201),1)</f>
        <v>77.8</v>
      </c>
      <c r="S13" s="25" t="str">
        <f aca="false">IFERROR(INDEX(Raw_Data!I$2:I$201,MATCH(MAX(IF(Raw_Data!E$2:E$201="Finance",Raw_Data!L$2:L$201)),Raw_Data!L$2:L$201,0)),"N/A")</f>
        <v>N/A</v>
      </c>
      <c r="T13" s="60"/>
      <c r="U13" s="60"/>
    </row>
    <row r="14" customFormat="false" ht="19.5" hidden="false" customHeight="true" outlineLevel="0" collapsed="false">
      <c r="A14" s="60"/>
      <c r="B14" s="37" t="n">
        <v>4</v>
      </c>
      <c r="C14" s="24" t="s">
        <v>83</v>
      </c>
      <c r="D14" s="24" t="n">
        <f aca="false">COUNTIF(Raw_Data!I$2:I$201,"Claude")</f>
        <v>48</v>
      </c>
      <c r="E14" s="24" t="n">
        <f aca="false">ROUND(AVERAGEIF(Raw_Data!I$2:I$201,"Claude",Raw_Data!L$2:L$201),1)</f>
        <v>75.1</v>
      </c>
      <c r="F14" s="24" t="n">
        <f aca="false">ROUND(AVERAGEIF(Raw_Data!I$2:I$201,"Claude",Raw_Data!M$2:M$201),1)</f>
        <v>1.9</v>
      </c>
      <c r="G14" s="24" t="n">
        <f aca="false">ROUND(AVERAGEIF(Raw_Data!I$2:I$201,"Claude",Raw_Data!N$2:N$201),2)</f>
        <v>4.04</v>
      </c>
      <c r="H14" s="60"/>
      <c r="I14" s="24" t="s">
        <v>99</v>
      </c>
      <c r="J14" s="24" t="n">
        <f aca="false">COUNTIF(Raw_Data!D$2:D$201,"Researcher")</f>
        <v>37</v>
      </c>
      <c r="K14" s="24" t="n">
        <f aca="false">ROUND(AVERAGEIF(Raw_Data!D$2:D$201,"Researcher",Raw_Data!L$2:L$201),1)</f>
        <v>76.4</v>
      </c>
      <c r="L14" s="24" t="n">
        <f aca="false">ROUND(AVERAGEIF(Raw_Data!D$2:D$201,"Researcher",Raw_Data!M$2:M$201),1)</f>
        <v>2</v>
      </c>
      <c r="M14" s="24" t="n">
        <f aca="false">ROUND(AVERAGEIF(Raw_Data!D$2:D$201,"Researcher",Raw_Data!N$2:N$201),2)</f>
        <v>3.94</v>
      </c>
      <c r="N14" s="24" t="str">
        <f aca="false">IF(AVERAGEIF(Raw_Data!D$2:D$201,"Researcher",Raw_Data!L$2:L$201)&gt;=80,"🟢 High","🟡 Mid")</f>
        <v>🟡 Mid</v>
      </c>
      <c r="O14" s="60"/>
      <c r="P14" s="24" t="s">
        <v>225</v>
      </c>
      <c r="Q14" s="24" t="n">
        <f aca="false">COUNTIF(Raw_Data!E$2:E$201,"HR")</f>
        <v>28</v>
      </c>
      <c r="R14" s="24" t="n">
        <f aca="false">ROUND(AVERAGEIF(Raw_Data!E$2:E$201,"HR",Raw_Data!L$2:L$201),1)</f>
        <v>76.5</v>
      </c>
      <c r="S14" s="24" t="str">
        <f aca="false">IFERROR(INDEX(Raw_Data!I$2:I$201,MATCH(MAX(IF(Raw_Data!E$2:E$201="HR",Raw_Data!L$2:L$201)),Raw_Data!L$2:L$201,0)),"N/A")</f>
        <v>N/A</v>
      </c>
      <c r="T14" s="60"/>
      <c r="U14" s="60"/>
    </row>
    <row r="15" customFormat="false" ht="19.5" hidden="false" customHeight="true" outlineLevel="0" collapsed="false">
      <c r="A15" s="60"/>
      <c r="B15" s="40" t="n">
        <v>5</v>
      </c>
      <c r="C15" s="25" t="s">
        <v>84</v>
      </c>
      <c r="D15" s="25" t="n">
        <f aca="false">COUNTIF(Raw_Data!I$2:I$201,"Perplexity")</f>
        <v>36</v>
      </c>
      <c r="E15" s="25" t="n">
        <f aca="false">ROUND(AVERAGEIF(Raw_Data!I$2:I$201,"Perplexity",Raw_Data!L$2:L$201),1)</f>
        <v>78.3</v>
      </c>
      <c r="F15" s="25" t="n">
        <f aca="false">ROUND(AVERAGEIF(Raw_Data!I$2:I$201,"Perplexity",Raw_Data!M$2:M$201),1)</f>
        <v>2</v>
      </c>
      <c r="G15" s="25" t="n">
        <f aca="false">ROUND(AVERAGEIF(Raw_Data!I$2:I$201,"Perplexity",Raw_Data!N$2:N$201),2)</f>
        <v>4.04</v>
      </c>
      <c r="H15" s="60"/>
      <c r="I15" s="25" t="s">
        <v>101</v>
      </c>
      <c r="J15" s="25" t="n">
        <f aca="false">COUNTIF(Raw_Data!D$2:D$201,"Manager")</f>
        <v>41</v>
      </c>
      <c r="K15" s="25" t="n">
        <f aca="false">ROUND(AVERAGEIF(Raw_Data!D$2:D$201,"Manager",Raw_Data!L$2:L$201),1)</f>
        <v>78.6</v>
      </c>
      <c r="L15" s="25" t="n">
        <f aca="false">ROUND(AVERAGEIF(Raw_Data!D$2:D$201,"Manager",Raw_Data!M$2:M$201),1)</f>
        <v>1.8</v>
      </c>
      <c r="M15" s="25" t="n">
        <f aca="false">ROUND(AVERAGEIF(Raw_Data!D$2:D$201,"Manager",Raw_Data!N$2:N$201),2)</f>
        <v>3.87</v>
      </c>
      <c r="N15" s="25" t="str">
        <f aca="false">IF(AVERAGEIF(Raw_Data!D$2:D$201,"Manager",Raw_Data!L$2:L$201)&gt;=80,"🟢 High","🟡 Mid")</f>
        <v>🟡 Mid</v>
      </c>
      <c r="O15" s="60"/>
      <c r="P15" s="25" t="s">
        <v>233</v>
      </c>
      <c r="Q15" s="25" t="n">
        <f aca="false">COUNTIF(Raw_Data!E$2:E$201,"Operations")</f>
        <v>31</v>
      </c>
      <c r="R15" s="25" t="n">
        <f aca="false">ROUND(AVERAGEIF(Raw_Data!E$2:E$201,"Operations",Raw_Data!L$2:L$201),1)</f>
        <v>76.1</v>
      </c>
      <c r="S15" s="25" t="str">
        <f aca="false">IFERROR(INDEX(Raw_Data!I$2:I$201,MATCH(MAX(IF(Raw_Data!E$2:E$201="Operations",Raw_Data!L$2:L$201)),Raw_Data!L$2:L$201,0)),"N/A")</f>
        <v>N/A</v>
      </c>
      <c r="T15" s="60"/>
      <c r="U15" s="60"/>
    </row>
    <row r="16" customFormat="false" ht="19.5" hidden="fals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24" t="s">
        <v>216</v>
      </c>
      <c r="Q16" s="24" t="n">
        <f aca="false">COUNTIF(Raw_Data!E$2:E$201,"Design")</f>
        <v>34</v>
      </c>
      <c r="R16" s="24" t="n">
        <f aca="false">ROUND(AVERAGEIF(Raw_Data!E$2:E$201,"Design",Raw_Data!L$2:L$201),1)</f>
        <v>76.4</v>
      </c>
      <c r="S16" s="24" t="str">
        <f aca="false">IFERROR(INDEX(Raw_Data!I$2:I$201,MATCH(MAX(IF(Raw_Data!E$2:E$201="Design",Raw_Data!L$2:L$201)),Raw_Data!L$2:L$201,0)),"N/A")</f>
        <v>N/A</v>
      </c>
      <c r="T16" s="60"/>
      <c r="U16" s="60"/>
    </row>
    <row r="17" customFormat="false" ht="19.5" hidden="false" customHeight="true" outlineLevel="0" collapsed="false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25" t="s">
        <v>243</v>
      </c>
      <c r="Q17" s="25" t="n">
        <f aca="false">COUNTIF(Raw_Data!E$2:E$201,"Sales")</f>
        <v>20</v>
      </c>
      <c r="R17" s="25" t="n">
        <f aca="false">ROUND(AVERAGEIF(Raw_Data!E$2:E$201,"Sales",Raw_Data!L$2:L$201),1)</f>
        <v>77.7</v>
      </c>
      <c r="S17" s="25" t="str">
        <f aca="false">IFERROR(INDEX(Raw_Data!I$2:I$201,MATCH(MAX(IF(Raw_Data!E$2:E$201="Sales",Raw_Data!L$2:L$201)),Raw_Data!L$2:L$201,0)),"N/A")</f>
        <v>N/A</v>
      </c>
      <c r="T17" s="60"/>
      <c r="U17" s="60"/>
    </row>
    <row r="18" customFormat="false" ht="7.5" hidden="fals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</row>
    <row r="19" customFormat="false" ht="21.75" hidden="false" customHeight="true" outlineLevel="0" collapsed="false">
      <c r="A19" s="60"/>
      <c r="B19" s="17" t="s">
        <v>365</v>
      </c>
      <c r="C19" s="17"/>
      <c r="D19" s="17"/>
      <c r="E19" s="17"/>
      <c r="F19" s="17"/>
      <c r="G19" s="17"/>
      <c r="H19" s="60"/>
      <c r="I19" s="80" t="s">
        <v>366</v>
      </c>
      <c r="J19" s="80"/>
      <c r="K19" s="80"/>
      <c r="L19" s="80"/>
      <c r="M19" s="80"/>
      <c r="N19" s="80"/>
      <c r="O19" s="60"/>
      <c r="P19" s="81" t="s">
        <v>367</v>
      </c>
      <c r="Q19" s="81"/>
      <c r="R19" s="81"/>
      <c r="S19" s="81"/>
      <c r="T19" s="81"/>
      <c r="U19" s="60"/>
    </row>
    <row r="20" customFormat="false" ht="21.75" hidden="false" customHeight="true" outlineLevel="0" collapsed="false">
      <c r="A20" s="60"/>
      <c r="B20" s="79" t="s">
        <v>368</v>
      </c>
      <c r="C20" s="79" t="s">
        <v>361</v>
      </c>
      <c r="D20" s="79" t="s">
        <v>362</v>
      </c>
      <c r="E20" s="79" t="s">
        <v>369</v>
      </c>
      <c r="F20" s="79" t="s">
        <v>126</v>
      </c>
      <c r="G20" s="60"/>
      <c r="H20" s="60"/>
      <c r="I20" s="79" t="s">
        <v>370</v>
      </c>
      <c r="J20" s="79" t="s">
        <v>88</v>
      </c>
      <c r="K20" s="79" t="s">
        <v>371</v>
      </c>
      <c r="L20" s="79" t="s">
        <v>372</v>
      </c>
      <c r="M20" s="79" t="s">
        <v>373</v>
      </c>
      <c r="N20" s="79" t="s">
        <v>363</v>
      </c>
      <c r="O20" s="60"/>
      <c r="P20" s="79" t="s">
        <v>374</v>
      </c>
      <c r="Q20" s="79" t="s">
        <v>132</v>
      </c>
      <c r="R20" s="79" t="s">
        <v>375</v>
      </c>
      <c r="S20" s="79" t="s">
        <v>361</v>
      </c>
      <c r="T20" s="79" t="s">
        <v>376</v>
      </c>
      <c r="U20" s="60"/>
    </row>
    <row r="21" customFormat="false" ht="21.75" hidden="false" customHeight="true" outlineLevel="0" collapsed="false">
      <c r="A21" s="60"/>
      <c r="B21" s="82" t="s">
        <v>148</v>
      </c>
      <c r="C21" s="82" t="n">
        <f aca="false">ROUND(AVERAGEIF(Raw_Data!H$2:H$201,"Urban",Raw_Data!L$2:L$201),1)</f>
        <v>75.5</v>
      </c>
      <c r="D21" s="82" t="n">
        <f aca="false">ROUND(AVERAGEIF(Raw_Data!H$2:H$201,"Urban",Raw_Data!M$2:M$201),1)</f>
        <v>1.9</v>
      </c>
      <c r="E21" s="82" t="n">
        <f aca="false">ROUND(AVERAGEIF(Raw_Data!H$2:H$201,"Urban",Raw_Data!J$2:J$201),1)</f>
        <v>3.3</v>
      </c>
      <c r="F21" s="82" t="n">
        <f aca="false">ROUND(AVERAGEIF(Raw_Data!H$2:H$201,"Urban",Raw_Data!N$2:N$201),2)</f>
        <v>4.03</v>
      </c>
      <c r="G21" s="60"/>
      <c r="H21" s="60"/>
      <c r="I21" s="83" t="s">
        <v>219</v>
      </c>
      <c r="J21" s="83" t="n">
        <f aca="false">COUNTIF(Raw_Data!O$2:O$201,"Free")</f>
        <v>65</v>
      </c>
      <c r="K21" s="83" t="n">
        <f aca="false">ROUND(AVERAGEIF(Raw_Data!O$2:O$201,"Free",Raw_Data!P$2:P$201),1)</f>
        <v>0</v>
      </c>
      <c r="L21" s="83" t="n">
        <f aca="false">SUMIF(Raw_Data!O$2:O$201,"Free",Raw_Data!P$2:P$201)</f>
        <v>0</v>
      </c>
      <c r="M21" s="84" t="n">
        <f aca="false">COUNTIF(Raw_Data!O$2:O$201,"Free")/200</f>
        <v>0.325</v>
      </c>
      <c r="N21" s="83" t="n">
        <f aca="false">ROUND(AVERAGEIF(Raw_Data!O$2:O$201,"Free",Raw_Data!N$2:N$201),2)</f>
        <v>4.09</v>
      </c>
      <c r="O21" s="60"/>
      <c r="P21" s="85" t="s">
        <v>377</v>
      </c>
      <c r="Q21" s="85" t="n">
        <f aca="false">COUNTIF(Raw_Data!S$2:S$201,"Top Performer")</f>
        <v>33</v>
      </c>
      <c r="R21" s="86" t="n">
        <f aca="false">COUNTIF(Raw_Data!S$2:S$201,"Top Performer")/200</f>
        <v>0.165</v>
      </c>
      <c r="S21" s="85" t="n">
        <f aca="false">ROUND(AVERAGEIF(Raw_Data!S$2:S$201,"Top Performer",Raw_Data!L$2:L$201),1)</f>
        <v>93.8</v>
      </c>
      <c r="T21" s="85" t="s">
        <v>378</v>
      </c>
      <c r="U21" s="60"/>
    </row>
    <row r="22" customFormat="false" ht="21.75" hidden="false" customHeight="true" outlineLevel="0" collapsed="false">
      <c r="A22" s="60"/>
      <c r="B22" s="87" t="s">
        <v>149</v>
      </c>
      <c r="C22" s="87" t="n">
        <f aca="false">ROUND(AVERAGEIF(Raw_Data!H$2:H$201,"Semi-Urban",Raw_Data!L$2:L$201),1)</f>
        <v>78.4</v>
      </c>
      <c r="D22" s="87" t="n">
        <f aca="false">ROUND(AVERAGEIF(Raw_Data!H$2:H$201,"Semi-Urban",Raw_Data!M$2:M$201),1)</f>
        <v>1.7</v>
      </c>
      <c r="E22" s="87" t="n">
        <f aca="false">ROUND(AVERAGEIF(Raw_Data!H$2:H$201,"Semi-Urban",Raw_Data!J$2:J$201),1)</f>
        <v>2.8</v>
      </c>
      <c r="F22" s="87" t="n">
        <f aca="false">ROUND(AVERAGEIF(Raw_Data!H$2:H$201,"Semi-Urban",Raw_Data!N$2:N$201),2)</f>
        <v>4.08</v>
      </c>
      <c r="G22" s="60"/>
      <c r="H22" s="60"/>
      <c r="I22" s="87" t="s">
        <v>223</v>
      </c>
      <c r="J22" s="87" t="n">
        <f aca="false">COUNTIF(Raw_Data!O$2:O$201,"Pro")</f>
        <v>68</v>
      </c>
      <c r="K22" s="87" t="n">
        <f aca="false">ROUND(AVERAGEIF(Raw_Data!O$2:O$201,"Pro",Raw_Data!P$2:P$201),1)</f>
        <v>21.4</v>
      </c>
      <c r="L22" s="87" t="n">
        <f aca="false">SUMIF(Raw_Data!O$2:O$201,"Pro",Raw_Data!P$2:P$201)</f>
        <v>1452</v>
      </c>
      <c r="M22" s="88" t="n">
        <f aca="false">COUNTIF(Raw_Data!O$2:O$201,"Pro")/200</f>
        <v>0.34</v>
      </c>
      <c r="N22" s="87" t="n">
        <f aca="false">ROUND(AVERAGEIF(Raw_Data!O$2:O$201,"Pro",Raw_Data!N$2:N$201),2)</f>
        <v>4.04</v>
      </c>
      <c r="O22" s="60"/>
      <c r="P22" s="89" t="s">
        <v>379</v>
      </c>
      <c r="Q22" s="89" t="n">
        <f aca="false">COUNTIF(Raw_Data!S$2:S$201,"High Performer")</f>
        <v>64</v>
      </c>
      <c r="R22" s="90" t="n">
        <f aca="false">COUNTIF(Raw_Data!S$2:S$201,"High Performer")/200</f>
        <v>0.32</v>
      </c>
      <c r="S22" s="89" t="n">
        <f aca="false">ROUND(AVERAGEIF(Raw_Data!S$2:S$201,"High Performer",Raw_Data!L$2:L$201),1)</f>
        <v>82.6</v>
      </c>
      <c r="T22" s="89" t="s">
        <v>380</v>
      </c>
      <c r="U22" s="60"/>
    </row>
    <row r="23" customFormat="false" ht="21.75" hidden="false" customHeight="true" outlineLevel="0" collapsed="false">
      <c r="A23" s="60"/>
      <c r="B23" s="60"/>
      <c r="C23" s="60"/>
      <c r="D23" s="60"/>
      <c r="E23" s="60"/>
      <c r="F23" s="60"/>
      <c r="G23" s="60"/>
      <c r="H23" s="60"/>
      <c r="I23" s="91" t="s">
        <v>228</v>
      </c>
      <c r="J23" s="91" t="n">
        <f aca="false">COUNTIF(Raw_Data!O$2:O$201,"Enterprise")</f>
        <v>67</v>
      </c>
      <c r="K23" s="91" t="n">
        <f aca="false">ROUND(AVERAGEIF(Raw_Data!O$2:O$201,"Enterprise",Raw_Data!P$2:P$201),1)</f>
        <v>51.6</v>
      </c>
      <c r="L23" s="91" t="n">
        <f aca="false">SUMIF(Raw_Data!O$2:O$201,"Enterprise",Raw_Data!P$2:P$201)</f>
        <v>3454</v>
      </c>
      <c r="M23" s="92" t="n">
        <f aca="false">COUNTIF(Raw_Data!O$2:O$201,"Enterprise")/200</f>
        <v>0.335</v>
      </c>
      <c r="N23" s="91" t="n">
        <f aca="false">ROUND(AVERAGEIF(Raw_Data!O$2:O$201,"Enterprise",Raw_Data!N$2:N$201),2)</f>
        <v>3.98</v>
      </c>
      <c r="O23" s="60"/>
      <c r="P23" s="93" t="s">
        <v>381</v>
      </c>
      <c r="Q23" s="93" t="n">
        <f aca="false">COUNTIF(Raw_Data!S$2:S$201,"Average")</f>
        <v>81</v>
      </c>
      <c r="R23" s="94" t="n">
        <f aca="false">COUNTIF(Raw_Data!S$2:S$201,"Average")/200</f>
        <v>0.405</v>
      </c>
      <c r="S23" s="93" t="n">
        <f aca="false">ROUND(AVERAGEIF(Raw_Data!S$2:S$201,"Average",Raw_Data!L$2:L$201),1)</f>
        <v>68.1</v>
      </c>
      <c r="T23" s="93" t="s">
        <v>382</v>
      </c>
      <c r="U23" s="60"/>
    </row>
    <row r="24" customFormat="false" ht="21.75" hidden="false" customHeight="true" outlineLevel="0" collapsed="false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95" t="s">
        <v>383</v>
      </c>
      <c r="Q24" s="95" t="n">
        <f aca="false">COUNTIF(Raw_Data!S$2:S$201,"Needs Improvement")</f>
        <v>22</v>
      </c>
      <c r="R24" s="96" t="n">
        <f aca="false">COUNTIF(Raw_Data!S$2:S$201,"Needs Improvement")/200</f>
        <v>0.11</v>
      </c>
      <c r="S24" s="95" t="n">
        <f aca="false">ROUND(AVERAGEIF(Raw_Data!S$2:S$201,"Needs Improvement",Raw_Data!L$2:L$201),1)</f>
        <v>57.6</v>
      </c>
      <c r="T24" s="95" t="s">
        <v>384</v>
      </c>
      <c r="U24" s="60"/>
    </row>
    <row r="25" customFormat="false" ht="21.75" hidden="false" customHeight="true" outlineLevel="0" collapsed="false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customFormat="false" ht="7.5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customFormat="false" ht="24" hidden="false" customHeight="true" outlineLevel="0" collapsed="false">
      <c r="A27" s="60"/>
      <c r="B27" s="97" t="s">
        <v>385</v>
      </c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60"/>
    </row>
    <row r="28" customFormat="false" ht="18" hidden="false" customHeight="true" outlineLevel="0" collapsed="false">
      <c r="A28" s="60"/>
      <c r="B28" s="98" t="s">
        <v>386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60"/>
    </row>
    <row r="29" customFormat="false" ht="18" hidden="false" customHeight="true" outlineLevel="0" collapsed="false">
      <c r="A29" s="60"/>
      <c r="B29" s="98" t="s">
        <v>387</v>
      </c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60"/>
    </row>
    <row r="30" customFormat="false" ht="18" hidden="false" customHeight="true" outlineLevel="0" collapsed="false">
      <c r="A30" s="60"/>
      <c r="B30" s="98" t="s">
        <v>388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60"/>
    </row>
    <row r="31" customFormat="false" ht="18" hidden="false" customHeight="true" outlineLevel="0" collapsed="false">
      <c r="A31" s="60"/>
      <c r="B31" s="98" t="s">
        <v>389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60"/>
    </row>
    <row r="32" customFormat="false" ht="18" hidden="false" customHeight="true" outlineLevel="0" collapsed="false">
      <c r="A32" s="60"/>
      <c r="B32" s="98" t="s">
        <v>390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60"/>
    </row>
    <row r="33" customFormat="false" ht="7.5" hidden="false" customHeight="true" outlineLevel="0" collapsed="false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</row>
    <row r="34" customFormat="false" ht="18" hidden="false" customHeight="true" outlineLevel="0" collapsed="false">
      <c r="A34" s="60"/>
      <c r="B34" s="99" t="s">
        <v>391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60"/>
    </row>
    <row r="35" customFormat="false" ht="15" hidden="false" customHeight="true" outlineLevel="0" collapsed="false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customFormat="false" ht="15" hidden="false" customHeight="true" outlineLevel="0" collapsed="false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</row>
    <row r="37" customFormat="false" ht="15" hidden="false" customHeight="true" outlineLevel="0" collapsed="false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customFormat="false" ht="15" hidden="false" customHeight="true" outlineLevel="0" collapsed="false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customFormat="false" ht="15" hidden="false" customHeight="true" outlineLevel="0" collapsed="false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</row>
    <row r="40" customFormat="false" ht="15" hidden="false" customHeight="true" outlineLevel="0" collapsed="false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customFormat="false" ht="15" hidden="false" customHeight="true" outlineLevel="0" collapsed="false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customFormat="false" ht="15" hidden="false" customHeight="true" outlineLevel="0" collapsed="false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customFormat="false" ht="15" hidden="false" customHeight="true" outlineLevel="0" collapsed="false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customFormat="false" ht="15" hidden="false" customHeight="true" outlineLevel="0" collapsed="false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customFormat="false" ht="15" hidden="false" customHeight="true" outlineLevel="0" collapsed="false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</row>
    <row r="46" customFormat="false" ht="15" hidden="false" customHeight="true" outlineLevel="0" collapsed="false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customFormat="false" ht="15" hidden="false" customHeight="true" outlineLevel="0" collapsed="false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customFormat="false" ht="15" hidden="false" customHeight="true" outlineLevel="0" collapsed="false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</row>
    <row r="49" customFormat="false" ht="15" hidden="false" customHeight="true" outlineLevel="0" collapsed="false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</row>
    <row r="50" customFormat="false" ht="15" hidden="false" customHeight="true" outlineLevel="0" collapsed="false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</row>
    <row r="51" customFormat="false" ht="15" hidden="false" customHeight="true" outlineLevel="0" collapsed="false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</row>
    <row r="52" customFormat="false" ht="1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</row>
    <row r="53" customFormat="false" ht="15" hidden="false" customHeight="true" outlineLevel="0" collapsed="false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</row>
    <row r="54" customFormat="false" ht="15" hidden="false" customHeight="true" outlineLevel="0" collapsed="false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</row>
    <row r="55" customFormat="false" ht="15" hidden="false" customHeight="true" outlineLevel="0" collapsed="false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</row>
    <row r="56" customFormat="false" ht="15" hidden="false" customHeight="true" outlineLevel="0" collapsed="false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</row>
    <row r="57" customFormat="false" ht="15" hidden="false" customHeight="true" outlineLevel="0" collapsed="false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customFormat="false" ht="15" hidden="false" customHeight="true" outlineLevel="0" collapsed="false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</row>
    <row r="59" customFormat="false" ht="15" hidden="false" customHeight="true" outlineLevel="0" collapsed="false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</row>
  </sheetData>
  <mergeCells count="33">
    <mergeCell ref="B2:T2"/>
    <mergeCell ref="B3:T3"/>
    <mergeCell ref="B5:C5"/>
    <mergeCell ref="E5:F5"/>
    <mergeCell ref="H5:I5"/>
    <mergeCell ref="K5:L5"/>
    <mergeCell ref="N5:O5"/>
    <mergeCell ref="Q5:R5"/>
    <mergeCell ref="B6:C6"/>
    <mergeCell ref="E6:F6"/>
    <mergeCell ref="H6:I6"/>
    <mergeCell ref="K6:L6"/>
    <mergeCell ref="N6:O6"/>
    <mergeCell ref="Q6:R6"/>
    <mergeCell ref="B7:C7"/>
    <mergeCell ref="E7:F7"/>
    <mergeCell ref="H7:I7"/>
    <mergeCell ref="K7:L7"/>
    <mergeCell ref="N7:O7"/>
    <mergeCell ref="Q7:R7"/>
    <mergeCell ref="B9:G9"/>
    <mergeCell ref="I9:N9"/>
    <mergeCell ref="P9:T9"/>
    <mergeCell ref="B19:G19"/>
    <mergeCell ref="I19:N19"/>
    <mergeCell ref="P19:T19"/>
    <mergeCell ref="B27:T27"/>
    <mergeCell ref="B28:T28"/>
    <mergeCell ref="B29:T29"/>
    <mergeCell ref="B30:T30"/>
    <mergeCell ref="B31:T31"/>
    <mergeCell ref="B32:T32"/>
    <mergeCell ref="B34:T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2026-06-14T09:12:06Z</dcterms:created>
  <dc:creator>openpyxl</dc:creator>
  <dc:description/>
  <dc:language>en-US</dc:language>
  <cp:lastModifiedBy/>
  <dcterms:modified xsi:type="dcterms:W3CDTF">2026-06-14T09:12:44Z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